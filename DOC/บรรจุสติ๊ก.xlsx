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บรรจง\ต้นทุน-KPF\"/>
    </mc:Choice>
  </mc:AlternateContent>
  <xr:revisionPtr revIDLastSave="0" documentId="8_{6ED3DD29-9F4B-4083-A9CC-4DB3A7634F65}" xr6:coauthVersionLast="47" xr6:coauthVersionMax="47" xr10:uidLastSave="{00000000-0000-0000-0000-000000000000}"/>
  <bookViews>
    <workbookView xWindow="-120" yWindow="-120" windowWidth="29040" windowHeight="15720" xr2:uid="{F4AF359D-1B05-4593-8216-6E8FD6C16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Y31" i="1" l="1"/>
  <c r="DH31" i="1"/>
  <c r="DG31" i="1"/>
  <c r="DF31" i="1"/>
  <c r="DE31" i="1"/>
  <c r="DD31" i="1"/>
  <c r="EC31" i="1" s="1"/>
  <c r="DC31" i="1"/>
  <c r="DB31" i="1"/>
  <c r="DA31" i="1"/>
  <c r="EB31" i="1" s="1"/>
  <c r="CZ31" i="1"/>
  <c r="CY31" i="1"/>
  <c r="CX31" i="1"/>
  <c r="CW31" i="1"/>
  <c r="CV31" i="1"/>
  <c r="EA31" i="1" s="1"/>
  <c r="CU31" i="1"/>
  <c r="CT31" i="1"/>
  <c r="CS31" i="1"/>
  <c r="DZ31" i="1" s="1"/>
  <c r="CR31" i="1"/>
  <c r="CQ31" i="1"/>
  <c r="CP31" i="1"/>
  <c r="CO31" i="1"/>
  <c r="CN31" i="1"/>
  <c r="CM31" i="1"/>
  <c r="CL31" i="1"/>
  <c r="CK31" i="1"/>
  <c r="CJ31" i="1"/>
  <c r="CI31" i="1"/>
  <c r="CH31" i="1"/>
  <c r="CG31" i="1"/>
  <c r="DX31" i="1" s="1"/>
  <c r="CF31" i="1"/>
  <c r="CE31" i="1"/>
  <c r="CD31" i="1"/>
  <c r="CC31" i="1"/>
  <c r="CB31" i="1"/>
  <c r="CA31" i="1"/>
  <c r="DW31" i="1" s="1"/>
  <c r="BZ31" i="1"/>
  <c r="BY31" i="1"/>
  <c r="BX31" i="1"/>
  <c r="BW31" i="1"/>
  <c r="DV31" i="1" s="1"/>
  <c r="BV31" i="1"/>
  <c r="BU31" i="1"/>
  <c r="BT31" i="1"/>
  <c r="BS31" i="1"/>
  <c r="BR31" i="1"/>
  <c r="BQ31" i="1"/>
  <c r="BP31" i="1"/>
  <c r="DU31" i="1" s="1"/>
  <c r="BO31" i="1"/>
  <c r="BN31" i="1"/>
  <c r="BM31" i="1"/>
  <c r="BL31" i="1"/>
  <c r="DT31" i="1" s="1"/>
  <c r="BK31" i="1"/>
  <c r="BJ31" i="1"/>
  <c r="BI31" i="1"/>
  <c r="BG31" i="1"/>
  <c r="BF31" i="1"/>
  <c r="BE31" i="1"/>
  <c r="BD31" i="1"/>
  <c r="BB31" i="1"/>
  <c r="BA31" i="1"/>
  <c r="AZ31" i="1"/>
  <c r="DQ31" i="1" s="1"/>
  <c r="AY31" i="1"/>
  <c r="AX31" i="1"/>
  <c r="AW31" i="1"/>
  <c r="AV31" i="1"/>
  <c r="AU31" i="1"/>
  <c r="AT31" i="1"/>
  <c r="AS31" i="1"/>
  <c r="AR31" i="1"/>
  <c r="AQ31" i="1"/>
  <c r="DP31" i="1" s="1"/>
  <c r="AP31" i="1"/>
  <c r="AO31" i="1"/>
  <c r="AM31" i="1"/>
  <c r="AL31" i="1"/>
  <c r="AK31" i="1"/>
  <c r="DN31" i="1" s="1"/>
  <c r="AJ31" i="1"/>
  <c r="AI31" i="1"/>
  <c r="AH31" i="1"/>
  <c r="AG31" i="1"/>
  <c r="AF31" i="1"/>
  <c r="AE31" i="1"/>
  <c r="AC31" i="1"/>
  <c r="AB31" i="1"/>
  <c r="AA31" i="1"/>
  <c r="Z31" i="1"/>
  <c r="X31" i="1"/>
  <c r="W31" i="1"/>
  <c r="V31" i="1"/>
  <c r="U31" i="1"/>
  <c r="T31" i="1"/>
  <c r="DK31" i="1" s="1"/>
  <c r="S31" i="1"/>
  <c r="R31" i="1"/>
  <c r="Q31" i="1"/>
  <c r="P31" i="1"/>
  <c r="O31" i="1"/>
  <c r="N31" i="1"/>
  <c r="M31" i="1"/>
  <c r="DJ31" i="1" s="1"/>
  <c r="L31" i="1"/>
  <c r="K31" i="1"/>
  <c r="I31" i="1"/>
  <c r="H31" i="1"/>
  <c r="DH30" i="1"/>
  <c r="DG30" i="1"/>
  <c r="DF30" i="1"/>
  <c r="DE30" i="1"/>
  <c r="DD30" i="1"/>
  <c r="EC30" i="1" s="1"/>
  <c r="DC30" i="1"/>
  <c r="DB30" i="1"/>
  <c r="DA30" i="1"/>
  <c r="EB30" i="1" s="1"/>
  <c r="CZ30" i="1"/>
  <c r="CY30" i="1"/>
  <c r="CX30" i="1"/>
  <c r="CW30" i="1"/>
  <c r="CV30" i="1"/>
  <c r="EA30" i="1" s="1"/>
  <c r="CU30" i="1"/>
  <c r="CT30" i="1"/>
  <c r="CS30" i="1"/>
  <c r="CR30" i="1"/>
  <c r="CQ30" i="1"/>
  <c r="CP30" i="1"/>
  <c r="DZ30" i="1" s="1"/>
  <c r="CO30" i="1"/>
  <c r="CN30" i="1"/>
  <c r="CM30" i="1"/>
  <c r="CL30" i="1"/>
  <c r="CK30" i="1"/>
  <c r="DY30" i="1" s="1"/>
  <c r="CJ30" i="1"/>
  <c r="CI30" i="1"/>
  <c r="CH30" i="1"/>
  <c r="CG30" i="1"/>
  <c r="DX30" i="1" s="1"/>
  <c r="CF30" i="1"/>
  <c r="CE30" i="1"/>
  <c r="CD30" i="1"/>
  <c r="CC30" i="1"/>
  <c r="CB30" i="1"/>
  <c r="CA30" i="1"/>
  <c r="DW30" i="1" s="1"/>
  <c r="BZ30" i="1"/>
  <c r="BY30" i="1"/>
  <c r="BX30" i="1"/>
  <c r="BW30" i="1"/>
  <c r="DV30" i="1" s="1"/>
  <c r="BV30" i="1"/>
  <c r="BU30" i="1"/>
  <c r="BT30" i="1"/>
  <c r="BS30" i="1"/>
  <c r="BR30" i="1"/>
  <c r="BP30" i="1"/>
  <c r="BO30" i="1"/>
  <c r="BN30" i="1"/>
  <c r="BM30" i="1"/>
  <c r="DT30" i="1" s="1"/>
  <c r="BL30" i="1"/>
  <c r="BK30" i="1"/>
  <c r="BJ30" i="1"/>
  <c r="BI30" i="1"/>
  <c r="BG30" i="1"/>
  <c r="BF30" i="1"/>
  <c r="BE30" i="1"/>
  <c r="BD30" i="1"/>
  <c r="BB30" i="1"/>
  <c r="BA30" i="1"/>
  <c r="AZ30" i="1"/>
  <c r="DQ30" i="1" s="1"/>
  <c r="AY30" i="1"/>
  <c r="AX30" i="1"/>
  <c r="AW30" i="1"/>
  <c r="AV30" i="1"/>
  <c r="AU30" i="1"/>
  <c r="AT30" i="1"/>
  <c r="AR30" i="1"/>
  <c r="AQ30" i="1"/>
  <c r="DP30" i="1" s="1"/>
  <c r="AP30" i="1"/>
  <c r="AO30" i="1"/>
  <c r="AM30" i="1"/>
  <c r="AL30" i="1"/>
  <c r="AK30" i="1"/>
  <c r="AJ30" i="1"/>
  <c r="AI30" i="1"/>
  <c r="AH30" i="1"/>
  <c r="DN30" i="1" s="1"/>
  <c r="AG30" i="1"/>
  <c r="AF30" i="1"/>
  <c r="AE30" i="1"/>
  <c r="AC30" i="1"/>
  <c r="AB30" i="1"/>
  <c r="DM30" i="1" s="1"/>
  <c r="AA30" i="1"/>
  <c r="Z30" i="1"/>
  <c r="X30" i="1"/>
  <c r="W30" i="1"/>
  <c r="V30" i="1"/>
  <c r="U30" i="1"/>
  <c r="T30" i="1"/>
  <c r="DK30" i="1" s="1"/>
  <c r="S30" i="1"/>
  <c r="R30" i="1"/>
  <c r="Q30" i="1"/>
  <c r="P30" i="1"/>
  <c r="O30" i="1"/>
  <c r="N30" i="1"/>
  <c r="M30" i="1"/>
  <c r="DJ30" i="1" s="1"/>
  <c r="L30" i="1"/>
  <c r="K30" i="1"/>
  <c r="I30" i="1"/>
  <c r="H30" i="1"/>
  <c r="DY29" i="1"/>
  <c r="DH29" i="1"/>
  <c r="DG29" i="1"/>
  <c r="DF29" i="1"/>
  <c r="DE29" i="1"/>
  <c r="DD29" i="1"/>
  <c r="EC29" i="1" s="1"/>
  <c r="DC29" i="1"/>
  <c r="DB29" i="1"/>
  <c r="DA29" i="1"/>
  <c r="EB29" i="1" s="1"/>
  <c r="CZ29" i="1"/>
  <c r="CY29" i="1"/>
  <c r="CX29" i="1"/>
  <c r="CW29" i="1"/>
  <c r="CV29" i="1"/>
  <c r="EA29" i="1" s="1"/>
  <c r="CU29" i="1"/>
  <c r="CT29" i="1"/>
  <c r="CS29" i="1"/>
  <c r="DZ29" i="1" s="1"/>
  <c r="CR29" i="1"/>
  <c r="CQ29" i="1"/>
  <c r="CP29" i="1"/>
  <c r="CO29" i="1"/>
  <c r="CN29" i="1"/>
  <c r="CM29" i="1"/>
  <c r="CL29" i="1"/>
  <c r="CK29" i="1"/>
  <c r="CJ29" i="1"/>
  <c r="CI29" i="1"/>
  <c r="CH29" i="1"/>
  <c r="CG29" i="1"/>
  <c r="DX29" i="1" s="1"/>
  <c r="CF29" i="1"/>
  <c r="CE29" i="1"/>
  <c r="CD29" i="1"/>
  <c r="CC29" i="1"/>
  <c r="CB29" i="1"/>
  <c r="CA29" i="1"/>
  <c r="DW29" i="1" s="1"/>
  <c r="BZ29" i="1"/>
  <c r="BY29" i="1"/>
  <c r="BX29" i="1"/>
  <c r="BW29" i="1"/>
  <c r="DV29" i="1" s="1"/>
  <c r="BV29" i="1"/>
  <c r="BU29" i="1"/>
  <c r="BT29" i="1"/>
  <c r="BS29" i="1"/>
  <c r="BR29" i="1"/>
  <c r="BQ29" i="1"/>
  <c r="BP29" i="1"/>
  <c r="DU29" i="1" s="1"/>
  <c r="BO29" i="1"/>
  <c r="BN29" i="1"/>
  <c r="BM29" i="1"/>
  <c r="BL29" i="1"/>
  <c r="DT29" i="1" s="1"/>
  <c r="BK29" i="1"/>
  <c r="BJ29" i="1"/>
  <c r="BI29" i="1"/>
  <c r="BG29" i="1"/>
  <c r="BF29" i="1"/>
  <c r="BE29" i="1"/>
  <c r="BD29" i="1"/>
  <c r="BB29" i="1"/>
  <c r="BA29" i="1"/>
  <c r="AZ29" i="1"/>
  <c r="DQ29" i="1" s="1"/>
  <c r="AY29" i="1"/>
  <c r="AX29" i="1"/>
  <c r="AW29" i="1"/>
  <c r="AV29" i="1"/>
  <c r="AU29" i="1"/>
  <c r="AT29" i="1"/>
  <c r="AS29" i="1"/>
  <c r="AR29" i="1"/>
  <c r="AQ29" i="1"/>
  <c r="DP29" i="1" s="1"/>
  <c r="AP29" i="1"/>
  <c r="AO29" i="1"/>
  <c r="AM29" i="1"/>
  <c r="AL29" i="1"/>
  <c r="AK29" i="1"/>
  <c r="DN29" i="1" s="1"/>
  <c r="AJ29" i="1"/>
  <c r="AI29" i="1"/>
  <c r="AH29" i="1"/>
  <c r="AG29" i="1"/>
  <c r="AF29" i="1"/>
  <c r="AE29" i="1"/>
  <c r="AC29" i="1"/>
  <c r="AB29" i="1"/>
  <c r="AA29" i="1"/>
  <c r="Z29" i="1"/>
  <c r="X29" i="1"/>
  <c r="W29" i="1"/>
  <c r="V29" i="1"/>
  <c r="U29" i="1"/>
  <c r="T29" i="1"/>
  <c r="DK29" i="1" s="1"/>
  <c r="S29" i="1"/>
  <c r="R29" i="1"/>
  <c r="Q29" i="1"/>
  <c r="P29" i="1"/>
  <c r="O29" i="1"/>
  <c r="N29" i="1"/>
  <c r="M29" i="1"/>
  <c r="DJ29" i="1" s="1"/>
  <c r="L29" i="1"/>
  <c r="K29" i="1"/>
  <c r="I29" i="1"/>
  <c r="H29" i="1"/>
  <c r="DH28" i="1"/>
  <c r="DG28" i="1"/>
  <c r="DF28" i="1"/>
  <c r="DE28" i="1"/>
  <c r="DD28" i="1"/>
  <c r="EC28" i="1" s="1"/>
  <c r="DC28" i="1"/>
  <c r="DB28" i="1"/>
  <c r="DA28" i="1"/>
  <c r="EB28" i="1" s="1"/>
  <c r="CZ28" i="1"/>
  <c r="CY28" i="1"/>
  <c r="CX28" i="1"/>
  <c r="CW28" i="1"/>
  <c r="CV28" i="1"/>
  <c r="EA28" i="1" s="1"/>
  <c r="CU28" i="1"/>
  <c r="CT28" i="1"/>
  <c r="CS28" i="1"/>
  <c r="CR28" i="1"/>
  <c r="CQ28" i="1"/>
  <c r="CP28" i="1"/>
  <c r="DZ28" i="1" s="1"/>
  <c r="CO28" i="1"/>
  <c r="CN28" i="1"/>
  <c r="CM28" i="1"/>
  <c r="CL28" i="1"/>
  <c r="CK28" i="1"/>
  <c r="DY28" i="1" s="1"/>
  <c r="CJ28" i="1"/>
  <c r="CI28" i="1"/>
  <c r="CH28" i="1"/>
  <c r="CG28" i="1"/>
  <c r="DX28" i="1" s="1"/>
  <c r="CF28" i="1"/>
  <c r="CE28" i="1"/>
  <c r="CD28" i="1"/>
  <c r="CC28" i="1"/>
  <c r="CB28" i="1"/>
  <c r="CA28" i="1"/>
  <c r="DW28" i="1" s="1"/>
  <c r="BZ28" i="1"/>
  <c r="BY28" i="1"/>
  <c r="BX28" i="1"/>
  <c r="BW28" i="1"/>
  <c r="DV28" i="1" s="1"/>
  <c r="BV28" i="1"/>
  <c r="BU28" i="1"/>
  <c r="BT28" i="1"/>
  <c r="BS28" i="1"/>
  <c r="BR28" i="1"/>
  <c r="BP28" i="1"/>
  <c r="BO28" i="1"/>
  <c r="BN28" i="1"/>
  <c r="BM28" i="1"/>
  <c r="DT28" i="1" s="1"/>
  <c r="BL28" i="1"/>
  <c r="BK28" i="1"/>
  <c r="BJ28" i="1"/>
  <c r="BI28" i="1"/>
  <c r="BG28" i="1"/>
  <c r="BF28" i="1"/>
  <c r="BE28" i="1"/>
  <c r="BD28" i="1"/>
  <c r="BB28" i="1"/>
  <c r="BA28" i="1"/>
  <c r="AZ28" i="1"/>
  <c r="DQ28" i="1" s="1"/>
  <c r="AY28" i="1"/>
  <c r="AX28" i="1"/>
  <c r="AW28" i="1"/>
  <c r="AV28" i="1"/>
  <c r="AU28" i="1"/>
  <c r="AT28" i="1"/>
  <c r="AR28" i="1"/>
  <c r="AQ28" i="1"/>
  <c r="AP28" i="1"/>
  <c r="AO28" i="1"/>
  <c r="AM28" i="1"/>
  <c r="AL28" i="1"/>
  <c r="AK28" i="1"/>
  <c r="AJ28" i="1"/>
  <c r="AI28" i="1"/>
  <c r="AH28" i="1"/>
  <c r="DN28" i="1" s="1"/>
  <c r="AG28" i="1"/>
  <c r="AF28" i="1"/>
  <c r="AE28" i="1"/>
  <c r="AC28" i="1"/>
  <c r="AB28" i="1"/>
  <c r="AA28" i="1"/>
  <c r="Z28" i="1"/>
  <c r="X28" i="1"/>
  <c r="W28" i="1"/>
  <c r="V28" i="1"/>
  <c r="U28" i="1"/>
  <c r="T28" i="1"/>
  <c r="DK28" i="1" s="1"/>
  <c r="S28" i="1"/>
  <c r="R28" i="1"/>
  <c r="Q28" i="1"/>
  <c r="P28" i="1"/>
  <c r="O28" i="1"/>
  <c r="N28" i="1"/>
  <c r="M28" i="1"/>
  <c r="DJ28" i="1" s="1"/>
  <c r="L28" i="1"/>
  <c r="K28" i="1"/>
  <c r="I28" i="1"/>
  <c r="H28" i="1"/>
  <c r="DY27" i="1"/>
  <c r="DH27" i="1"/>
  <c r="DG27" i="1"/>
  <c r="DF27" i="1"/>
  <c r="DE27" i="1"/>
  <c r="DD27" i="1"/>
  <c r="EC27" i="1" s="1"/>
  <c r="DC27" i="1"/>
  <c r="DB27" i="1"/>
  <c r="DA27" i="1"/>
  <c r="EB27" i="1" s="1"/>
  <c r="CZ27" i="1"/>
  <c r="CY27" i="1"/>
  <c r="CX27" i="1"/>
  <c r="CW27" i="1"/>
  <c r="CV27" i="1"/>
  <c r="EA27" i="1" s="1"/>
  <c r="CU27" i="1"/>
  <c r="CT27" i="1"/>
  <c r="CS27" i="1"/>
  <c r="DZ27" i="1" s="1"/>
  <c r="CR27" i="1"/>
  <c r="CQ27" i="1"/>
  <c r="CP27" i="1"/>
  <c r="CO27" i="1"/>
  <c r="CN27" i="1"/>
  <c r="CM27" i="1"/>
  <c r="CL27" i="1"/>
  <c r="CK27" i="1"/>
  <c r="CJ27" i="1"/>
  <c r="CI27" i="1"/>
  <c r="CH27" i="1"/>
  <c r="CG27" i="1"/>
  <c r="DX27" i="1" s="1"/>
  <c r="CF27" i="1"/>
  <c r="CE27" i="1"/>
  <c r="CD27" i="1"/>
  <c r="CC27" i="1"/>
  <c r="CB27" i="1"/>
  <c r="CA27" i="1"/>
  <c r="DW27" i="1" s="1"/>
  <c r="BZ27" i="1"/>
  <c r="BY27" i="1"/>
  <c r="BX27" i="1"/>
  <c r="BW27" i="1"/>
  <c r="DV27" i="1" s="1"/>
  <c r="BV27" i="1"/>
  <c r="BU27" i="1"/>
  <c r="BT27" i="1"/>
  <c r="BS27" i="1"/>
  <c r="BR27" i="1"/>
  <c r="BQ27" i="1"/>
  <c r="BP27" i="1"/>
  <c r="DU27" i="1" s="1"/>
  <c r="BO27" i="1"/>
  <c r="BN27" i="1"/>
  <c r="BM27" i="1"/>
  <c r="BL27" i="1"/>
  <c r="DT27" i="1" s="1"/>
  <c r="BK27" i="1"/>
  <c r="BJ27" i="1"/>
  <c r="BI27" i="1"/>
  <c r="BG27" i="1"/>
  <c r="BF27" i="1"/>
  <c r="BE27" i="1"/>
  <c r="BD27" i="1"/>
  <c r="BB27" i="1"/>
  <c r="BA27" i="1"/>
  <c r="AZ27" i="1"/>
  <c r="DQ27" i="1" s="1"/>
  <c r="AY27" i="1"/>
  <c r="AX27" i="1"/>
  <c r="AW27" i="1"/>
  <c r="AV27" i="1"/>
  <c r="AU27" i="1"/>
  <c r="AT27" i="1"/>
  <c r="AS27" i="1"/>
  <c r="AR27" i="1"/>
  <c r="AQ27" i="1"/>
  <c r="DP27" i="1" s="1"/>
  <c r="AP27" i="1"/>
  <c r="AO27" i="1"/>
  <c r="AM27" i="1"/>
  <c r="AL27" i="1"/>
  <c r="AK27" i="1"/>
  <c r="DN27" i="1" s="1"/>
  <c r="AJ27" i="1"/>
  <c r="AI27" i="1"/>
  <c r="AH27" i="1"/>
  <c r="AG27" i="1"/>
  <c r="AF27" i="1"/>
  <c r="AE27" i="1"/>
  <c r="AC27" i="1"/>
  <c r="AB27" i="1"/>
  <c r="AA27" i="1"/>
  <c r="Z27" i="1"/>
  <c r="X27" i="1"/>
  <c r="W27" i="1"/>
  <c r="V27" i="1"/>
  <c r="U27" i="1"/>
  <c r="T27" i="1"/>
  <c r="DK27" i="1" s="1"/>
  <c r="S27" i="1"/>
  <c r="R27" i="1"/>
  <c r="Q27" i="1"/>
  <c r="P27" i="1"/>
  <c r="O27" i="1"/>
  <c r="N27" i="1"/>
  <c r="M27" i="1"/>
  <c r="DJ27" i="1" s="1"/>
  <c r="L27" i="1"/>
  <c r="K27" i="1"/>
  <c r="I27" i="1"/>
  <c r="H27" i="1"/>
  <c r="DH26" i="1"/>
  <c r="DG26" i="1"/>
  <c r="DF26" i="1"/>
  <c r="DE26" i="1"/>
  <c r="DD26" i="1"/>
  <c r="EC26" i="1" s="1"/>
  <c r="DC26" i="1"/>
  <c r="DB26" i="1"/>
  <c r="DA26" i="1"/>
  <c r="EB26" i="1" s="1"/>
  <c r="CZ26" i="1"/>
  <c r="CY26" i="1"/>
  <c r="CX26" i="1"/>
  <c r="CW26" i="1"/>
  <c r="CV26" i="1"/>
  <c r="EA26" i="1" s="1"/>
  <c r="CU26" i="1"/>
  <c r="CT26" i="1"/>
  <c r="CS26" i="1"/>
  <c r="CR26" i="1"/>
  <c r="CQ26" i="1"/>
  <c r="CP26" i="1"/>
  <c r="DZ26" i="1" s="1"/>
  <c r="CO26" i="1"/>
  <c r="CN26" i="1"/>
  <c r="CM26" i="1"/>
  <c r="CL26" i="1"/>
  <c r="CK26" i="1"/>
  <c r="DY26" i="1" s="1"/>
  <c r="CJ26" i="1"/>
  <c r="CI26" i="1"/>
  <c r="CH26" i="1"/>
  <c r="CG26" i="1"/>
  <c r="DX26" i="1" s="1"/>
  <c r="CF26" i="1"/>
  <c r="CE26" i="1"/>
  <c r="CD26" i="1"/>
  <c r="CC26" i="1"/>
  <c r="CB26" i="1"/>
  <c r="CA26" i="1"/>
  <c r="DW26" i="1" s="1"/>
  <c r="BZ26" i="1"/>
  <c r="BY26" i="1"/>
  <c r="BX26" i="1"/>
  <c r="BW26" i="1"/>
  <c r="DV26" i="1" s="1"/>
  <c r="BV26" i="1"/>
  <c r="BU26" i="1"/>
  <c r="BT26" i="1"/>
  <c r="BS26" i="1"/>
  <c r="BR26" i="1"/>
  <c r="BP26" i="1"/>
  <c r="BO26" i="1"/>
  <c r="BN26" i="1"/>
  <c r="BM26" i="1"/>
  <c r="DT26" i="1" s="1"/>
  <c r="BL26" i="1"/>
  <c r="BK26" i="1"/>
  <c r="BJ26" i="1"/>
  <c r="BI26" i="1"/>
  <c r="BG26" i="1"/>
  <c r="BF26" i="1"/>
  <c r="BE26" i="1"/>
  <c r="BD26" i="1"/>
  <c r="BB26" i="1"/>
  <c r="BA26" i="1"/>
  <c r="AZ26" i="1"/>
  <c r="DQ26" i="1" s="1"/>
  <c r="AY26" i="1"/>
  <c r="AX26" i="1"/>
  <c r="AW26" i="1"/>
  <c r="AV26" i="1"/>
  <c r="AU26" i="1"/>
  <c r="AT26" i="1"/>
  <c r="AR26" i="1"/>
  <c r="AQ26" i="1"/>
  <c r="AP26" i="1"/>
  <c r="AO26" i="1"/>
  <c r="AM26" i="1"/>
  <c r="AL26" i="1"/>
  <c r="AK26" i="1"/>
  <c r="AJ26" i="1"/>
  <c r="AI26" i="1"/>
  <c r="AH26" i="1"/>
  <c r="DN26" i="1" s="1"/>
  <c r="AG26" i="1"/>
  <c r="AF26" i="1"/>
  <c r="AE26" i="1"/>
  <c r="AC26" i="1"/>
  <c r="AB26" i="1"/>
  <c r="AA26" i="1"/>
  <c r="Z26" i="1"/>
  <c r="X26" i="1"/>
  <c r="W26" i="1"/>
  <c r="V26" i="1"/>
  <c r="U26" i="1"/>
  <c r="T26" i="1"/>
  <c r="DK26" i="1" s="1"/>
  <c r="S26" i="1"/>
  <c r="R26" i="1"/>
  <c r="Q26" i="1"/>
  <c r="P26" i="1"/>
  <c r="O26" i="1"/>
  <c r="N26" i="1"/>
  <c r="M26" i="1"/>
  <c r="DJ26" i="1" s="1"/>
  <c r="L26" i="1"/>
  <c r="K26" i="1"/>
  <c r="I26" i="1"/>
  <c r="H26" i="1"/>
  <c r="DY25" i="1"/>
  <c r="DH25" i="1"/>
  <c r="DG25" i="1"/>
  <c r="DF25" i="1"/>
  <c r="DE25" i="1"/>
  <c r="DD25" i="1"/>
  <c r="EC25" i="1" s="1"/>
  <c r="DC25" i="1"/>
  <c r="DB25" i="1"/>
  <c r="DA25" i="1"/>
  <c r="EB25" i="1" s="1"/>
  <c r="CZ25" i="1"/>
  <c r="CY25" i="1"/>
  <c r="CX25" i="1"/>
  <c r="CW25" i="1"/>
  <c r="CV25" i="1"/>
  <c r="EA25" i="1" s="1"/>
  <c r="CU25" i="1"/>
  <c r="CT25" i="1"/>
  <c r="CS25" i="1"/>
  <c r="DZ25" i="1" s="1"/>
  <c r="CR25" i="1"/>
  <c r="CQ25" i="1"/>
  <c r="CP25" i="1"/>
  <c r="CO25" i="1"/>
  <c r="CN25" i="1"/>
  <c r="CM25" i="1"/>
  <c r="CL25" i="1"/>
  <c r="CK25" i="1"/>
  <c r="CJ25" i="1"/>
  <c r="CI25" i="1"/>
  <c r="CH25" i="1"/>
  <c r="CG25" i="1"/>
  <c r="DX25" i="1" s="1"/>
  <c r="CF25" i="1"/>
  <c r="CE25" i="1"/>
  <c r="CD25" i="1"/>
  <c r="CC25" i="1"/>
  <c r="CB25" i="1"/>
  <c r="CA25" i="1"/>
  <c r="DW25" i="1" s="1"/>
  <c r="BZ25" i="1"/>
  <c r="BY25" i="1"/>
  <c r="BX25" i="1"/>
  <c r="BW25" i="1"/>
  <c r="DV25" i="1" s="1"/>
  <c r="BV25" i="1"/>
  <c r="BU25" i="1"/>
  <c r="BT25" i="1"/>
  <c r="BS25" i="1"/>
  <c r="BR25" i="1"/>
  <c r="BQ25" i="1"/>
  <c r="BP25" i="1"/>
  <c r="DU25" i="1" s="1"/>
  <c r="BO25" i="1"/>
  <c r="BN25" i="1"/>
  <c r="BM25" i="1"/>
  <c r="BL25" i="1"/>
  <c r="DT25" i="1" s="1"/>
  <c r="BK25" i="1"/>
  <c r="BJ25" i="1"/>
  <c r="BI25" i="1"/>
  <c r="BG25" i="1"/>
  <c r="BF25" i="1"/>
  <c r="BE25" i="1"/>
  <c r="BD25" i="1"/>
  <c r="BB25" i="1"/>
  <c r="BA25" i="1"/>
  <c r="AZ25" i="1"/>
  <c r="DQ25" i="1" s="1"/>
  <c r="AY25" i="1"/>
  <c r="AX25" i="1"/>
  <c r="AW25" i="1"/>
  <c r="AV25" i="1"/>
  <c r="AU25" i="1"/>
  <c r="AT25" i="1"/>
  <c r="AS25" i="1"/>
  <c r="AR25" i="1"/>
  <c r="AQ25" i="1"/>
  <c r="DP25" i="1" s="1"/>
  <c r="AP25" i="1"/>
  <c r="AO25" i="1"/>
  <c r="AM25" i="1"/>
  <c r="AL25" i="1"/>
  <c r="AK25" i="1"/>
  <c r="DN25" i="1" s="1"/>
  <c r="AJ25" i="1"/>
  <c r="AI25" i="1"/>
  <c r="AH25" i="1"/>
  <c r="AG25" i="1"/>
  <c r="AF25" i="1"/>
  <c r="AE25" i="1"/>
  <c r="AC25" i="1"/>
  <c r="AB25" i="1"/>
  <c r="AA25" i="1"/>
  <c r="Z25" i="1"/>
  <c r="X25" i="1"/>
  <c r="W25" i="1"/>
  <c r="V25" i="1"/>
  <c r="U25" i="1"/>
  <c r="T25" i="1"/>
  <c r="DK25" i="1" s="1"/>
  <c r="S25" i="1"/>
  <c r="R25" i="1"/>
  <c r="Q25" i="1"/>
  <c r="P25" i="1"/>
  <c r="O25" i="1"/>
  <c r="N25" i="1"/>
  <c r="M25" i="1"/>
  <c r="DJ25" i="1" s="1"/>
  <c r="L25" i="1"/>
  <c r="K25" i="1"/>
  <c r="I25" i="1"/>
  <c r="H25" i="1"/>
  <c r="DH24" i="1"/>
  <c r="DG24" i="1"/>
  <c r="DF24" i="1"/>
  <c r="DE24" i="1"/>
  <c r="DD24" i="1"/>
  <c r="EC24" i="1" s="1"/>
  <c r="DC24" i="1"/>
  <c r="DB24" i="1"/>
  <c r="DA24" i="1"/>
  <c r="EB24" i="1" s="1"/>
  <c r="CZ24" i="1"/>
  <c r="CY24" i="1"/>
  <c r="CX24" i="1"/>
  <c r="CW24" i="1"/>
  <c r="CV24" i="1"/>
  <c r="EA24" i="1" s="1"/>
  <c r="CU24" i="1"/>
  <c r="CT24" i="1"/>
  <c r="CS24" i="1"/>
  <c r="CR24" i="1"/>
  <c r="CQ24" i="1"/>
  <c r="CP24" i="1"/>
  <c r="DZ24" i="1" s="1"/>
  <c r="CO24" i="1"/>
  <c r="CN24" i="1"/>
  <c r="CM24" i="1"/>
  <c r="CL24" i="1"/>
  <c r="CK24" i="1"/>
  <c r="DY24" i="1" s="1"/>
  <c r="CJ24" i="1"/>
  <c r="CI24" i="1"/>
  <c r="CH24" i="1"/>
  <c r="CG24" i="1"/>
  <c r="DX24" i="1" s="1"/>
  <c r="CF24" i="1"/>
  <c r="CE24" i="1"/>
  <c r="CD24" i="1"/>
  <c r="CC24" i="1"/>
  <c r="CB24" i="1"/>
  <c r="CA24" i="1"/>
  <c r="DW24" i="1" s="1"/>
  <c r="BZ24" i="1"/>
  <c r="BY24" i="1"/>
  <c r="BX24" i="1"/>
  <c r="BW24" i="1"/>
  <c r="DV24" i="1" s="1"/>
  <c r="BV24" i="1"/>
  <c r="BU24" i="1"/>
  <c r="BT24" i="1"/>
  <c r="BS24" i="1"/>
  <c r="BR24" i="1"/>
  <c r="BP24" i="1"/>
  <c r="BO24" i="1"/>
  <c r="BN24" i="1"/>
  <c r="BM24" i="1"/>
  <c r="DT24" i="1" s="1"/>
  <c r="BL24" i="1"/>
  <c r="BK24" i="1"/>
  <c r="BJ24" i="1"/>
  <c r="BI24" i="1"/>
  <c r="BG24" i="1"/>
  <c r="BF24" i="1"/>
  <c r="BE24" i="1"/>
  <c r="BD24" i="1"/>
  <c r="BB24" i="1"/>
  <c r="BA24" i="1"/>
  <c r="AZ24" i="1"/>
  <c r="DQ24" i="1" s="1"/>
  <c r="AY24" i="1"/>
  <c r="AX24" i="1"/>
  <c r="AW24" i="1"/>
  <c r="AV24" i="1"/>
  <c r="AU24" i="1"/>
  <c r="AT24" i="1"/>
  <c r="AR24" i="1"/>
  <c r="AQ24" i="1"/>
  <c r="AP24" i="1"/>
  <c r="AO24" i="1"/>
  <c r="AM24" i="1"/>
  <c r="AL24" i="1"/>
  <c r="AK24" i="1"/>
  <c r="AJ24" i="1"/>
  <c r="AI24" i="1"/>
  <c r="AH24" i="1"/>
  <c r="DN24" i="1" s="1"/>
  <c r="AG24" i="1"/>
  <c r="AF24" i="1"/>
  <c r="AE24" i="1"/>
  <c r="AC24" i="1"/>
  <c r="AB24" i="1"/>
  <c r="AA24" i="1"/>
  <c r="Z24" i="1"/>
  <c r="X24" i="1"/>
  <c r="W24" i="1"/>
  <c r="V24" i="1"/>
  <c r="U24" i="1"/>
  <c r="T24" i="1"/>
  <c r="DK24" i="1" s="1"/>
  <c r="S24" i="1"/>
  <c r="R24" i="1"/>
  <c r="Q24" i="1"/>
  <c r="P24" i="1"/>
  <c r="O24" i="1"/>
  <c r="N24" i="1"/>
  <c r="M24" i="1"/>
  <c r="DJ24" i="1" s="1"/>
  <c r="L24" i="1"/>
  <c r="K24" i="1"/>
  <c r="I24" i="1"/>
  <c r="H24" i="1"/>
  <c r="DY23" i="1"/>
  <c r="DH23" i="1"/>
  <c r="DG23" i="1"/>
  <c r="DF23" i="1"/>
  <c r="DE23" i="1"/>
  <c r="DD23" i="1"/>
  <c r="EC23" i="1" s="1"/>
  <c r="DC23" i="1"/>
  <c r="DB23" i="1"/>
  <c r="DA23" i="1"/>
  <c r="EB23" i="1" s="1"/>
  <c r="CZ23" i="1"/>
  <c r="CY23" i="1"/>
  <c r="CX23" i="1"/>
  <c r="CW23" i="1"/>
  <c r="CV23" i="1"/>
  <c r="EA23" i="1" s="1"/>
  <c r="CU23" i="1"/>
  <c r="CT23" i="1"/>
  <c r="CS23" i="1"/>
  <c r="DZ23" i="1" s="1"/>
  <c r="CR23" i="1"/>
  <c r="CQ23" i="1"/>
  <c r="CP23" i="1"/>
  <c r="CO23" i="1"/>
  <c r="CN23" i="1"/>
  <c r="CM23" i="1"/>
  <c r="CL23" i="1"/>
  <c r="CK23" i="1"/>
  <c r="CJ23" i="1"/>
  <c r="CI23" i="1"/>
  <c r="CH23" i="1"/>
  <c r="CG23" i="1"/>
  <c r="DX23" i="1" s="1"/>
  <c r="CF23" i="1"/>
  <c r="CE23" i="1"/>
  <c r="CD23" i="1"/>
  <c r="CC23" i="1"/>
  <c r="CB23" i="1"/>
  <c r="CA23" i="1"/>
  <c r="DW23" i="1" s="1"/>
  <c r="BZ23" i="1"/>
  <c r="BY23" i="1"/>
  <c r="BX23" i="1"/>
  <c r="BW23" i="1"/>
  <c r="DV23" i="1" s="1"/>
  <c r="BV23" i="1"/>
  <c r="BU23" i="1"/>
  <c r="BT23" i="1"/>
  <c r="BS23" i="1"/>
  <c r="BR23" i="1"/>
  <c r="BQ23" i="1"/>
  <c r="BP23" i="1"/>
  <c r="DU23" i="1" s="1"/>
  <c r="BO23" i="1"/>
  <c r="BN23" i="1"/>
  <c r="BM23" i="1"/>
  <c r="BL23" i="1"/>
  <c r="DT23" i="1" s="1"/>
  <c r="BK23" i="1"/>
  <c r="BJ23" i="1"/>
  <c r="BI23" i="1"/>
  <c r="BG23" i="1"/>
  <c r="BF23" i="1"/>
  <c r="BE23" i="1"/>
  <c r="BD23" i="1"/>
  <c r="BB23" i="1"/>
  <c r="BA23" i="1"/>
  <c r="AZ23" i="1"/>
  <c r="DQ23" i="1" s="1"/>
  <c r="AY23" i="1"/>
  <c r="AX23" i="1"/>
  <c r="AW23" i="1"/>
  <c r="AV23" i="1"/>
  <c r="AU23" i="1"/>
  <c r="AT23" i="1"/>
  <c r="AS23" i="1"/>
  <c r="AR23" i="1"/>
  <c r="AQ23" i="1"/>
  <c r="DP23" i="1" s="1"/>
  <c r="AP23" i="1"/>
  <c r="AO23" i="1"/>
  <c r="AM23" i="1"/>
  <c r="AL23" i="1"/>
  <c r="AK23" i="1"/>
  <c r="DN23" i="1" s="1"/>
  <c r="AJ23" i="1"/>
  <c r="AI23" i="1"/>
  <c r="AH23" i="1"/>
  <c r="AG23" i="1"/>
  <c r="AF23" i="1"/>
  <c r="AE23" i="1"/>
  <c r="AC23" i="1"/>
  <c r="AB23" i="1"/>
  <c r="AA23" i="1"/>
  <c r="Z23" i="1"/>
  <c r="X23" i="1"/>
  <c r="W23" i="1"/>
  <c r="V23" i="1"/>
  <c r="U23" i="1"/>
  <c r="T23" i="1"/>
  <c r="DK23" i="1" s="1"/>
  <c r="S23" i="1"/>
  <c r="R23" i="1"/>
  <c r="Q23" i="1"/>
  <c r="P23" i="1"/>
  <c r="O23" i="1"/>
  <c r="N23" i="1"/>
  <c r="M23" i="1"/>
  <c r="DJ23" i="1" s="1"/>
  <c r="L23" i="1"/>
  <c r="K23" i="1"/>
  <c r="I23" i="1"/>
  <c r="H23" i="1"/>
  <c r="DH22" i="1"/>
  <c r="DG22" i="1"/>
  <c r="DF22" i="1"/>
  <c r="DE22" i="1"/>
  <c r="DD22" i="1"/>
  <c r="EC22" i="1" s="1"/>
  <c r="DC22" i="1"/>
  <c r="DB22" i="1"/>
  <c r="DA22" i="1"/>
  <c r="EB22" i="1" s="1"/>
  <c r="CZ22" i="1"/>
  <c r="CY22" i="1"/>
  <c r="CX22" i="1"/>
  <c r="CW22" i="1"/>
  <c r="CV22" i="1"/>
  <c r="EA22" i="1" s="1"/>
  <c r="CU22" i="1"/>
  <c r="CT22" i="1"/>
  <c r="CS22" i="1"/>
  <c r="CR22" i="1"/>
  <c r="DZ22" i="1" s="1"/>
  <c r="CQ22" i="1"/>
  <c r="CP22" i="1"/>
  <c r="CO22" i="1"/>
  <c r="CN22" i="1"/>
  <c r="CM22" i="1"/>
  <c r="CL22" i="1"/>
  <c r="CK22" i="1"/>
  <c r="DY22" i="1" s="1"/>
  <c r="CJ22" i="1"/>
  <c r="CI22" i="1"/>
  <c r="CH22" i="1"/>
  <c r="CG22" i="1"/>
  <c r="DX22" i="1" s="1"/>
  <c r="CF22" i="1"/>
  <c r="CE22" i="1"/>
  <c r="CD22" i="1"/>
  <c r="CC22" i="1"/>
  <c r="CB22" i="1"/>
  <c r="CA22" i="1"/>
  <c r="DW22" i="1" s="1"/>
  <c r="BZ22" i="1"/>
  <c r="BY22" i="1"/>
  <c r="BX22" i="1"/>
  <c r="BW22" i="1"/>
  <c r="DV22" i="1" s="1"/>
  <c r="BV22" i="1"/>
  <c r="BU22" i="1"/>
  <c r="BT22" i="1"/>
  <c r="BS22" i="1"/>
  <c r="BR22" i="1"/>
  <c r="BP22" i="1"/>
  <c r="BO22" i="1"/>
  <c r="BN22" i="1"/>
  <c r="BM22" i="1"/>
  <c r="DT22" i="1" s="1"/>
  <c r="BL22" i="1"/>
  <c r="BK22" i="1"/>
  <c r="BJ22" i="1"/>
  <c r="BI22" i="1"/>
  <c r="BG22" i="1"/>
  <c r="BF22" i="1"/>
  <c r="BE22" i="1"/>
  <c r="BD22" i="1"/>
  <c r="BB22" i="1"/>
  <c r="BA22" i="1"/>
  <c r="AZ22" i="1"/>
  <c r="DQ22" i="1" s="1"/>
  <c r="AY22" i="1"/>
  <c r="AX22" i="1"/>
  <c r="AW22" i="1"/>
  <c r="AV22" i="1"/>
  <c r="AU22" i="1"/>
  <c r="AT22" i="1"/>
  <c r="AR22" i="1"/>
  <c r="AQ22" i="1"/>
  <c r="AP22" i="1"/>
  <c r="AO22" i="1"/>
  <c r="AM22" i="1"/>
  <c r="AL22" i="1"/>
  <c r="AK22" i="1"/>
  <c r="DN22" i="1" s="1"/>
  <c r="AJ22" i="1"/>
  <c r="AI22" i="1"/>
  <c r="AH22" i="1"/>
  <c r="AG22" i="1"/>
  <c r="AF22" i="1"/>
  <c r="AE22" i="1"/>
  <c r="AC22" i="1"/>
  <c r="AB22" i="1"/>
  <c r="AA22" i="1"/>
  <c r="Z22" i="1"/>
  <c r="X22" i="1"/>
  <c r="W22" i="1"/>
  <c r="V22" i="1"/>
  <c r="U22" i="1"/>
  <c r="T22" i="1"/>
  <c r="DK22" i="1" s="1"/>
  <c r="S22" i="1"/>
  <c r="R22" i="1"/>
  <c r="Q22" i="1"/>
  <c r="P22" i="1"/>
  <c r="O22" i="1"/>
  <c r="N22" i="1"/>
  <c r="M22" i="1"/>
  <c r="DJ22" i="1" s="1"/>
  <c r="L22" i="1"/>
  <c r="K22" i="1"/>
  <c r="I22" i="1"/>
  <c r="H22" i="1"/>
  <c r="DY21" i="1"/>
  <c r="DH21" i="1"/>
  <c r="DG21" i="1"/>
  <c r="DF21" i="1"/>
  <c r="DE21" i="1"/>
  <c r="DD21" i="1"/>
  <c r="EC21" i="1" s="1"/>
  <c r="DC21" i="1"/>
  <c r="DB21" i="1"/>
  <c r="DA21" i="1"/>
  <c r="EB21" i="1" s="1"/>
  <c r="CZ21" i="1"/>
  <c r="CY21" i="1"/>
  <c r="CX21" i="1"/>
  <c r="CW21" i="1"/>
  <c r="CV21" i="1"/>
  <c r="EA21" i="1" s="1"/>
  <c r="CU21" i="1"/>
  <c r="CT21" i="1"/>
  <c r="CS21" i="1"/>
  <c r="DZ21" i="1" s="1"/>
  <c r="CR21" i="1"/>
  <c r="CQ21" i="1"/>
  <c r="CP21" i="1"/>
  <c r="CO21" i="1"/>
  <c r="CN21" i="1"/>
  <c r="CM21" i="1"/>
  <c r="CL21" i="1"/>
  <c r="CK21" i="1"/>
  <c r="CJ21" i="1"/>
  <c r="CI21" i="1"/>
  <c r="CH21" i="1"/>
  <c r="CG21" i="1"/>
  <c r="DX21" i="1" s="1"/>
  <c r="CF21" i="1"/>
  <c r="CE21" i="1"/>
  <c r="CD21" i="1"/>
  <c r="CC21" i="1"/>
  <c r="CB21" i="1"/>
  <c r="CA21" i="1"/>
  <c r="DW21" i="1" s="1"/>
  <c r="BZ21" i="1"/>
  <c r="BY21" i="1"/>
  <c r="BX21" i="1"/>
  <c r="BW21" i="1"/>
  <c r="DV21" i="1" s="1"/>
  <c r="BV21" i="1"/>
  <c r="BU21" i="1"/>
  <c r="BT21" i="1"/>
  <c r="BS21" i="1"/>
  <c r="BR21" i="1"/>
  <c r="BQ21" i="1"/>
  <c r="BP21" i="1"/>
  <c r="DU21" i="1" s="1"/>
  <c r="BO21" i="1"/>
  <c r="BN21" i="1"/>
  <c r="BM21" i="1"/>
  <c r="DT21" i="1" s="1"/>
  <c r="BL21" i="1"/>
  <c r="BK21" i="1"/>
  <c r="BJ21" i="1"/>
  <c r="BI21" i="1"/>
  <c r="BG21" i="1"/>
  <c r="BF21" i="1"/>
  <c r="BE21" i="1"/>
  <c r="BD21" i="1"/>
  <c r="BB21" i="1"/>
  <c r="BA21" i="1"/>
  <c r="AZ21" i="1"/>
  <c r="DQ21" i="1" s="1"/>
  <c r="AY21" i="1"/>
  <c r="AX21" i="1"/>
  <c r="AW21" i="1"/>
  <c r="AV21" i="1"/>
  <c r="AU21" i="1"/>
  <c r="AT21" i="1"/>
  <c r="AS21" i="1"/>
  <c r="AR21" i="1"/>
  <c r="AQ21" i="1"/>
  <c r="DP21" i="1" s="1"/>
  <c r="AP21" i="1"/>
  <c r="AO21" i="1"/>
  <c r="AM21" i="1"/>
  <c r="AL21" i="1"/>
  <c r="AK21" i="1"/>
  <c r="DN21" i="1" s="1"/>
  <c r="AJ21" i="1"/>
  <c r="AI21" i="1"/>
  <c r="AH21" i="1"/>
  <c r="AG21" i="1"/>
  <c r="AF21" i="1"/>
  <c r="AE21" i="1"/>
  <c r="AC21" i="1"/>
  <c r="AB21" i="1"/>
  <c r="AA21" i="1"/>
  <c r="Z21" i="1"/>
  <c r="X21" i="1"/>
  <c r="W21" i="1"/>
  <c r="V21" i="1"/>
  <c r="U21" i="1"/>
  <c r="T21" i="1"/>
  <c r="DK21" i="1" s="1"/>
  <c r="S21" i="1"/>
  <c r="R21" i="1"/>
  <c r="Q21" i="1"/>
  <c r="P21" i="1"/>
  <c r="O21" i="1"/>
  <c r="N21" i="1"/>
  <c r="M21" i="1"/>
  <c r="DJ21" i="1" s="1"/>
  <c r="L21" i="1"/>
  <c r="K21" i="1"/>
  <c r="I21" i="1"/>
  <c r="H21" i="1"/>
  <c r="DH20" i="1"/>
  <c r="DG20" i="1"/>
  <c r="DF20" i="1"/>
  <c r="DE20" i="1"/>
  <c r="DD20" i="1"/>
  <c r="EC20" i="1" s="1"/>
  <c r="DC20" i="1"/>
  <c r="DB20" i="1"/>
  <c r="DA20" i="1"/>
  <c r="EB20" i="1" s="1"/>
  <c r="CZ20" i="1"/>
  <c r="CY20" i="1"/>
  <c r="CX20" i="1"/>
  <c r="CW20" i="1"/>
  <c r="CV20" i="1"/>
  <c r="EA20" i="1" s="1"/>
  <c r="CU20" i="1"/>
  <c r="CT20" i="1"/>
  <c r="CS20" i="1"/>
  <c r="DZ20" i="1" s="1"/>
  <c r="CR20" i="1"/>
  <c r="CQ20" i="1"/>
  <c r="CP20" i="1"/>
  <c r="CO20" i="1"/>
  <c r="CN20" i="1"/>
  <c r="CM20" i="1"/>
  <c r="CL20" i="1"/>
  <c r="CK20" i="1"/>
  <c r="DY20" i="1" s="1"/>
  <c r="CJ20" i="1"/>
  <c r="CI20" i="1"/>
  <c r="CH20" i="1"/>
  <c r="CG20" i="1"/>
  <c r="DX20" i="1" s="1"/>
  <c r="CF20" i="1"/>
  <c r="CE20" i="1"/>
  <c r="CD20" i="1"/>
  <c r="CC20" i="1"/>
  <c r="CB20" i="1"/>
  <c r="CA20" i="1"/>
  <c r="DW20" i="1" s="1"/>
  <c r="BZ20" i="1"/>
  <c r="BY20" i="1"/>
  <c r="BX20" i="1"/>
  <c r="BW20" i="1"/>
  <c r="DV20" i="1" s="1"/>
  <c r="BV20" i="1"/>
  <c r="BU20" i="1"/>
  <c r="BT20" i="1"/>
  <c r="BS20" i="1"/>
  <c r="BR20" i="1"/>
  <c r="BP20" i="1"/>
  <c r="BO20" i="1"/>
  <c r="BN20" i="1"/>
  <c r="BM20" i="1"/>
  <c r="DT20" i="1" s="1"/>
  <c r="BL20" i="1"/>
  <c r="BK20" i="1"/>
  <c r="BJ20" i="1"/>
  <c r="BI20" i="1"/>
  <c r="BG20" i="1"/>
  <c r="BF20" i="1"/>
  <c r="BE20" i="1"/>
  <c r="BD20" i="1"/>
  <c r="BB20" i="1"/>
  <c r="BA20" i="1"/>
  <c r="AZ20" i="1"/>
  <c r="DQ20" i="1" s="1"/>
  <c r="AY20" i="1"/>
  <c r="AX20" i="1"/>
  <c r="AW20" i="1"/>
  <c r="AV20" i="1"/>
  <c r="AU20" i="1"/>
  <c r="AT20" i="1"/>
  <c r="AR20" i="1"/>
  <c r="AQ20" i="1"/>
  <c r="AP20" i="1"/>
  <c r="AO20" i="1"/>
  <c r="AM20" i="1"/>
  <c r="AL20" i="1"/>
  <c r="AK20" i="1"/>
  <c r="DN20" i="1" s="1"/>
  <c r="AJ20" i="1"/>
  <c r="AI20" i="1"/>
  <c r="AH20" i="1"/>
  <c r="AG20" i="1"/>
  <c r="AF20" i="1"/>
  <c r="AE20" i="1"/>
  <c r="AC20" i="1"/>
  <c r="AB20" i="1"/>
  <c r="AA20" i="1"/>
  <c r="Z20" i="1"/>
  <c r="X20" i="1"/>
  <c r="W20" i="1"/>
  <c r="V20" i="1"/>
  <c r="U20" i="1"/>
  <c r="T20" i="1"/>
  <c r="DK20" i="1" s="1"/>
  <c r="S20" i="1"/>
  <c r="R20" i="1"/>
  <c r="Q20" i="1"/>
  <c r="P20" i="1"/>
  <c r="O20" i="1"/>
  <c r="N20" i="1"/>
  <c r="M20" i="1"/>
  <c r="DJ20" i="1" s="1"/>
  <c r="L20" i="1"/>
  <c r="K20" i="1"/>
  <c r="I20" i="1"/>
  <c r="H20" i="1"/>
  <c r="DY19" i="1"/>
  <c r="DH19" i="1"/>
  <c r="DG19" i="1"/>
  <c r="DF19" i="1"/>
  <c r="DE19" i="1"/>
  <c r="DD19" i="1"/>
  <c r="EC19" i="1" s="1"/>
  <c r="DC19" i="1"/>
  <c r="DB19" i="1"/>
  <c r="DA19" i="1"/>
  <c r="EB19" i="1" s="1"/>
  <c r="CZ19" i="1"/>
  <c r="CY19" i="1"/>
  <c r="CX19" i="1"/>
  <c r="CW19" i="1"/>
  <c r="CV19" i="1"/>
  <c r="EA19" i="1" s="1"/>
  <c r="CU19" i="1"/>
  <c r="CT19" i="1"/>
  <c r="CS19" i="1"/>
  <c r="DZ19" i="1" s="1"/>
  <c r="CR19" i="1"/>
  <c r="CQ19" i="1"/>
  <c r="CP19" i="1"/>
  <c r="CO19" i="1"/>
  <c r="CN19" i="1"/>
  <c r="CM19" i="1"/>
  <c r="CL19" i="1"/>
  <c r="CK19" i="1"/>
  <c r="CJ19" i="1"/>
  <c r="CI19" i="1"/>
  <c r="CH19" i="1"/>
  <c r="CG19" i="1"/>
  <c r="DX19" i="1" s="1"/>
  <c r="CF19" i="1"/>
  <c r="CE19" i="1"/>
  <c r="CD19" i="1"/>
  <c r="CC19" i="1"/>
  <c r="CB19" i="1"/>
  <c r="CA19" i="1"/>
  <c r="DW19" i="1" s="1"/>
  <c r="BZ19" i="1"/>
  <c r="BY19" i="1"/>
  <c r="BX19" i="1"/>
  <c r="BW19" i="1"/>
  <c r="DV19" i="1" s="1"/>
  <c r="BV19" i="1"/>
  <c r="BU19" i="1"/>
  <c r="BT19" i="1"/>
  <c r="BS19" i="1"/>
  <c r="BR19" i="1"/>
  <c r="BQ19" i="1"/>
  <c r="BP19" i="1"/>
  <c r="DU19" i="1" s="1"/>
  <c r="BO19" i="1"/>
  <c r="BN19" i="1"/>
  <c r="BM19" i="1"/>
  <c r="DT19" i="1" s="1"/>
  <c r="BL19" i="1"/>
  <c r="BK19" i="1"/>
  <c r="BJ19" i="1"/>
  <c r="BI19" i="1"/>
  <c r="BG19" i="1"/>
  <c r="BF19" i="1"/>
  <c r="BE19" i="1"/>
  <c r="BD19" i="1"/>
  <c r="BB19" i="1"/>
  <c r="BA19" i="1"/>
  <c r="AZ19" i="1"/>
  <c r="DQ19" i="1" s="1"/>
  <c r="AY19" i="1"/>
  <c r="AX19" i="1"/>
  <c r="AW19" i="1"/>
  <c r="AV19" i="1"/>
  <c r="AU19" i="1"/>
  <c r="AT19" i="1"/>
  <c r="AS19" i="1"/>
  <c r="AR19" i="1"/>
  <c r="AQ19" i="1"/>
  <c r="DP19" i="1" s="1"/>
  <c r="AP19" i="1"/>
  <c r="AO19" i="1"/>
  <c r="AM19" i="1"/>
  <c r="AL19" i="1"/>
  <c r="AK19" i="1"/>
  <c r="DN19" i="1" s="1"/>
  <c r="AJ19" i="1"/>
  <c r="AI19" i="1"/>
  <c r="AH19" i="1"/>
  <c r="AG19" i="1"/>
  <c r="AF19" i="1"/>
  <c r="AE19" i="1"/>
  <c r="AC19" i="1"/>
  <c r="AB19" i="1"/>
  <c r="AA19" i="1"/>
  <c r="Z19" i="1"/>
  <c r="X19" i="1"/>
  <c r="W19" i="1"/>
  <c r="V19" i="1"/>
  <c r="U19" i="1"/>
  <c r="T19" i="1"/>
  <c r="DK19" i="1" s="1"/>
  <c r="S19" i="1"/>
  <c r="R19" i="1"/>
  <c r="Q19" i="1"/>
  <c r="P19" i="1"/>
  <c r="O19" i="1"/>
  <c r="N19" i="1"/>
  <c r="M19" i="1"/>
  <c r="DJ19" i="1" s="1"/>
  <c r="L19" i="1"/>
  <c r="K19" i="1"/>
  <c r="I19" i="1"/>
  <c r="H19" i="1"/>
  <c r="DH18" i="1"/>
  <c r="DG18" i="1"/>
  <c r="DF18" i="1"/>
  <c r="DE18" i="1"/>
  <c r="DD18" i="1"/>
  <c r="EC18" i="1" s="1"/>
  <c r="DC18" i="1"/>
  <c r="DB18" i="1"/>
  <c r="DA18" i="1"/>
  <c r="EB18" i="1" s="1"/>
  <c r="CZ18" i="1"/>
  <c r="CY18" i="1"/>
  <c r="CX18" i="1"/>
  <c r="CW18" i="1"/>
  <c r="CV18" i="1"/>
  <c r="EA18" i="1" s="1"/>
  <c r="CU18" i="1"/>
  <c r="CT18" i="1"/>
  <c r="CS18" i="1"/>
  <c r="DZ18" i="1" s="1"/>
  <c r="CR18" i="1"/>
  <c r="CQ18" i="1"/>
  <c r="CP18" i="1"/>
  <c r="CO18" i="1"/>
  <c r="CN18" i="1"/>
  <c r="CM18" i="1"/>
  <c r="CL18" i="1"/>
  <c r="CK18" i="1"/>
  <c r="DY18" i="1" s="1"/>
  <c r="CJ18" i="1"/>
  <c r="CI18" i="1"/>
  <c r="CH18" i="1"/>
  <c r="CG18" i="1"/>
  <c r="DX18" i="1" s="1"/>
  <c r="CF18" i="1"/>
  <c r="CE18" i="1"/>
  <c r="CD18" i="1"/>
  <c r="CC18" i="1"/>
  <c r="CB18" i="1"/>
  <c r="CA18" i="1"/>
  <c r="DW18" i="1" s="1"/>
  <c r="BZ18" i="1"/>
  <c r="BY18" i="1"/>
  <c r="BX18" i="1"/>
  <c r="BW18" i="1"/>
  <c r="DV18" i="1" s="1"/>
  <c r="BV18" i="1"/>
  <c r="BU18" i="1"/>
  <c r="BT18" i="1"/>
  <c r="BS18" i="1"/>
  <c r="BR18" i="1"/>
  <c r="BP18" i="1"/>
  <c r="BO18" i="1"/>
  <c r="BN18" i="1"/>
  <c r="BM18" i="1"/>
  <c r="DT18" i="1" s="1"/>
  <c r="BL18" i="1"/>
  <c r="BK18" i="1"/>
  <c r="BJ18" i="1"/>
  <c r="BI18" i="1"/>
  <c r="BG18" i="1"/>
  <c r="BF18" i="1"/>
  <c r="BE18" i="1"/>
  <c r="BD18" i="1"/>
  <c r="BB18" i="1"/>
  <c r="BA18" i="1"/>
  <c r="AZ18" i="1"/>
  <c r="DQ18" i="1" s="1"/>
  <c r="AY18" i="1"/>
  <c r="AX18" i="1"/>
  <c r="AW18" i="1"/>
  <c r="AV18" i="1"/>
  <c r="AU18" i="1"/>
  <c r="AT18" i="1"/>
  <c r="AR18" i="1"/>
  <c r="AQ18" i="1"/>
  <c r="AP18" i="1"/>
  <c r="AO18" i="1"/>
  <c r="AM18" i="1"/>
  <c r="AL18" i="1"/>
  <c r="AK18" i="1"/>
  <c r="DN18" i="1" s="1"/>
  <c r="AJ18" i="1"/>
  <c r="AI18" i="1"/>
  <c r="AH18" i="1"/>
  <c r="AG18" i="1"/>
  <c r="AF18" i="1"/>
  <c r="AE18" i="1"/>
  <c r="AC18" i="1"/>
  <c r="AB18" i="1"/>
  <c r="AA18" i="1"/>
  <c r="Z18" i="1"/>
  <c r="X18" i="1"/>
  <c r="W18" i="1"/>
  <c r="V18" i="1"/>
  <c r="U18" i="1"/>
  <c r="T18" i="1"/>
  <c r="DK18" i="1" s="1"/>
  <c r="S18" i="1"/>
  <c r="R18" i="1"/>
  <c r="Q18" i="1"/>
  <c r="P18" i="1"/>
  <c r="O18" i="1"/>
  <c r="N18" i="1"/>
  <c r="M18" i="1"/>
  <c r="DJ18" i="1" s="1"/>
  <c r="L18" i="1"/>
  <c r="K18" i="1"/>
  <c r="I18" i="1"/>
  <c r="H18" i="1"/>
  <c r="DY17" i="1"/>
  <c r="DH17" i="1"/>
  <c r="DG17" i="1"/>
  <c r="DF17" i="1"/>
  <c r="DE17" i="1"/>
  <c r="DD17" i="1"/>
  <c r="EC17" i="1" s="1"/>
  <c r="DC17" i="1"/>
  <c r="DB17" i="1"/>
  <c r="DA17" i="1"/>
  <c r="EB17" i="1" s="1"/>
  <c r="CZ17" i="1"/>
  <c r="CY17" i="1"/>
  <c r="CX17" i="1"/>
  <c r="CW17" i="1"/>
  <c r="CV17" i="1"/>
  <c r="EA17" i="1" s="1"/>
  <c r="CU17" i="1"/>
  <c r="CT17" i="1"/>
  <c r="CS17" i="1"/>
  <c r="DZ17" i="1" s="1"/>
  <c r="CR17" i="1"/>
  <c r="CQ17" i="1"/>
  <c r="CP17" i="1"/>
  <c r="CO17" i="1"/>
  <c r="CN17" i="1"/>
  <c r="CM17" i="1"/>
  <c r="CL17" i="1"/>
  <c r="CK17" i="1"/>
  <c r="CJ17" i="1"/>
  <c r="CI17" i="1"/>
  <c r="CH17" i="1"/>
  <c r="CG17" i="1"/>
  <c r="DX17" i="1" s="1"/>
  <c r="CF17" i="1"/>
  <c r="CE17" i="1"/>
  <c r="CD17" i="1"/>
  <c r="CC17" i="1"/>
  <c r="CB17" i="1"/>
  <c r="CA17" i="1"/>
  <c r="DW17" i="1" s="1"/>
  <c r="BZ17" i="1"/>
  <c r="BY17" i="1"/>
  <c r="BX17" i="1"/>
  <c r="BW17" i="1"/>
  <c r="DV17" i="1" s="1"/>
  <c r="BV17" i="1"/>
  <c r="BU17" i="1"/>
  <c r="BT17" i="1"/>
  <c r="BS17" i="1"/>
  <c r="BR17" i="1"/>
  <c r="BQ17" i="1"/>
  <c r="BP17" i="1"/>
  <c r="DU17" i="1" s="1"/>
  <c r="BO17" i="1"/>
  <c r="BN17" i="1"/>
  <c r="BM17" i="1"/>
  <c r="DT17" i="1" s="1"/>
  <c r="BL17" i="1"/>
  <c r="BK17" i="1"/>
  <c r="BJ17" i="1"/>
  <c r="BI17" i="1"/>
  <c r="BG17" i="1"/>
  <c r="BF17" i="1"/>
  <c r="BE17" i="1"/>
  <c r="BD17" i="1"/>
  <c r="BB17" i="1"/>
  <c r="BA17" i="1"/>
  <c r="AZ17" i="1"/>
  <c r="DQ17" i="1" s="1"/>
  <c r="AY17" i="1"/>
  <c r="AX17" i="1"/>
  <c r="AW17" i="1"/>
  <c r="AV17" i="1"/>
  <c r="AU17" i="1"/>
  <c r="AT17" i="1"/>
  <c r="AS17" i="1"/>
  <c r="AR17" i="1"/>
  <c r="AQ17" i="1"/>
  <c r="DP17" i="1" s="1"/>
  <c r="AP17" i="1"/>
  <c r="AO17" i="1"/>
  <c r="AM17" i="1"/>
  <c r="AL17" i="1"/>
  <c r="AK17" i="1"/>
  <c r="DN17" i="1" s="1"/>
  <c r="AJ17" i="1"/>
  <c r="AI17" i="1"/>
  <c r="AH17" i="1"/>
  <c r="AG17" i="1"/>
  <c r="AF17" i="1"/>
  <c r="AE17" i="1"/>
  <c r="AC17" i="1"/>
  <c r="AB17" i="1"/>
  <c r="AA17" i="1"/>
  <c r="Z17" i="1"/>
  <c r="X17" i="1"/>
  <c r="W17" i="1"/>
  <c r="V17" i="1"/>
  <c r="U17" i="1"/>
  <c r="T17" i="1"/>
  <c r="DK17" i="1" s="1"/>
  <c r="S17" i="1"/>
  <c r="R17" i="1"/>
  <c r="Q17" i="1"/>
  <c r="P17" i="1"/>
  <c r="O17" i="1"/>
  <c r="N17" i="1"/>
  <c r="M17" i="1"/>
  <c r="DJ17" i="1" s="1"/>
  <c r="L17" i="1"/>
  <c r="K17" i="1"/>
  <c r="I17" i="1"/>
  <c r="H17" i="1"/>
  <c r="DH16" i="1"/>
  <c r="DG16" i="1"/>
  <c r="DF16" i="1"/>
  <c r="DE16" i="1"/>
  <c r="DD16" i="1"/>
  <c r="EC16" i="1" s="1"/>
  <c r="DC16" i="1"/>
  <c r="DB16" i="1"/>
  <c r="DA16" i="1"/>
  <c r="EB16" i="1" s="1"/>
  <c r="CZ16" i="1"/>
  <c r="CY16" i="1"/>
  <c r="CX16" i="1"/>
  <c r="CW16" i="1"/>
  <c r="CV16" i="1"/>
  <c r="EA16" i="1" s="1"/>
  <c r="CU16" i="1"/>
  <c r="CT16" i="1"/>
  <c r="CS16" i="1"/>
  <c r="DZ16" i="1" s="1"/>
  <c r="CR16" i="1"/>
  <c r="CQ16" i="1"/>
  <c r="CP16" i="1"/>
  <c r="CO16" i="1"/>
  <c r="CN16" i="1"/>
  <c r="CM16" i="1"/>
  <c r="CL16" i="1"/>
  <c r="CK16" i="1"/>
  <c r="DY16" i="1" s="1"/>
  <c r="CJ16" i="1"/>
  <c r="CI16" i="1"/>
  <c r="CH16" i="1"/>
  <c r="CG16" i="1"/>
  <c r="DX16" i="1" s="1"/>
  <c r="CF16" i="1"/>
  <c r="CE16" i="1"/>
  <c r="CD16" i="1"/>
  <c r="CC16" i="1"/>
  <c r="CB16" i="1"/>
  <c r="CA16" i="1"/>
  <c r="DW16" i="1" s="1"/>
  <c r="BZ16" i="1"/>
  <c r="BY16" i="1"/>
  <c r="BX16" i="1"/>
  <c r="BW16" i="1"/>
  <c r="DV16" i="1" s="1"/>
  <c r="BV16" i="1"/>
  <c r="BU16" i="1"/>
  <c r="BT16" i="1"/>
  <c r="BS16" i="1"/>
  <c r="BR16" i="1"/>
  <c r="BP16" i="1"/>
  <c r="BO16" i="1"/>
  <c r="BN16" i="1"/>
  <c r="BM16" i="1"/>
  <c r="DT16" i="1" s="1"/>
  <c r="BL16" i="1"/>
  <c r="BK16" i="1"/>
  <c r="BJ16" i="1"/>
  <c r="BI16" i="1"/>
  <c r="BG16" i="1"/>
  <c r="BF16" i="1"/>
  <c r="BE16" i="1"/>
  <c r="BD16" i="1"/>
  <c r="BB16" i="1"/>
  <c r="BA16" i="1"/>
  <c r="AZ16" i="1"/>
  <c r="DQ16" i="1" s="1"/>
  <c r="AY16" i="1"/>
  <c r="AX16" i="1"/>
  <c r="AW16" i="1"/>
  <c r="AV16" i="1"/>
  <c r="AU16" i="1"/>
  <c r="AT16" i="1"/>
  <c r="AR16" i="1"/>
  <c r="AQ16" i="1"/>
  <c r="AP16" i="1"/>
  <c r="AO16" i="1"/>
  <c r="AM16" i="1"/>
  <c r="AL16" i="1"/>
  <c r="AK16" i="1"/>
  <c r="DN16" i="1" s="1"/>
  <c r="AJ16" i="1"/>
  <c r="AI16" i="1"/>
  <c r="AH16" i="1"/>
  <c r="AG16" i="1"/>
  <c r="AF16" i="1"/>
  <c r="AE16" i="1"/>
  <c r="AC16" i="1"/>
  <c r="AB16" i="1"/>
  <c r="AA16" i="1"/>
  <c r="Z16" i="1"/>
  <c r="X16" i="1"/>
  <c r="W16" i="1"/>
  <c r="V16" i="1"/>
  <c r="U16" i="1"/>
  <c r="T16" i="1"/>
  <c r="DK16" i="1" s="1"/>
  <c r="S16" i="1"/>
  <c r="R16" i="1"/>
  <c r="Q16" i="1"/>
  <c r="P16" i="1"/>
  <c r="O16" i="1"/>
  <c r="N16" i="1"/>
  <c r="M16" i="1"/>
  <c r="DJ16" i="1" s="1"/>
  <c r="L16" i="1"/>
  <c r="K16" i="1"/>
  <c r="I16" i="1"/>
  <c r="H16" i="1"/>
  <c r="DY15" i="1"/>
  <c r="DH15" i="1"/>
  <c r="DG15" i="1"/>
  <c r="DF15" i="1"/>
  <c r="DE15" i="1"/>
  <c r="DD15" i="1"/>
  <c r="EC15" i="1" s="1"/>
  <c r="DC15" i="1"/>
  <c r="DB15" i="1"/>
  <c r="DA15" i="1"/>
  <c r="EB15" i="1" s="1"/>
  <c r="CZ15" i="1"/>
  <c r="CY15" i="1"/>
  <c r="CX15" i="1"/>
  <c r="CW15" i="1"/>
  <c r="CV15" i="1"/>
  <c r="EA15" i="1" s="1"/>
  <c r="CU15" i="1"/>
  <c r="CT15" i="1"/>
  <c r="CS15" i="1"/>
  <c r="DZ15" i="1" s="1"/>
  <c r="CR15" i="1"/>
  <c r="CQ15" i="1"/>
  <c r="CP15" i="1"/>
  <c r="CO15" i="1"/>
  <c r="CN15" i="1"/>
  <c r="CM15" i="1"/>
  <c r="CL15" i="1"/>
  <c r="CK15" i="1"/>
  <c r="CJ15" i="1"/>
  <c r="CI15" i="1"/>
  <c r="CH15" i="1"/>
  <c r="CG15" i="1"/>
  <c r="DX15" i="1" s="1"/>
  <c r="CF15" i="1"/>
  <c r="CE15" i="1"/>
  <c r="CD15" i="1"/>
  <c r="CC15" i="1"/>
  <c r="CB15" i="1"/>
  <c r="CA15" i="1"/>
  <c r="DW15" i="1" s="1"/>
  <c r="BZ15" i="1"/>
  <c r="BY15" i="1"/>
  <c r="BX15" i="1"/>
  <c r="BW15" i="1"/>
  <c r="DV15" i="1" s="1"/>
  <c r="BV15" i="1"/>
  <c r="BU15" i="1"/>
  <c r="BT15" i="1"/>
  <c r="BS15" i="1"/>
  <c r="BR15" i="1"/>
  <c r="BQ15" i="1"/>
  <c r="BP15" i="1"/>
  <c r="DU15" i="1" s="1"/>
  <c r="BO15" i="1"/>
  <c r="BN15" i="1"/>
  <c r="BM15" i="1"/>
  <c r="DT15" i="1" s="1"/>
  <c r="BL15" i="1"/>
  <c r="BK15" i="1"/>
  <c r="BJ15" i="1"/>
  <c r="BI15" i="1"/>
  <c r="BG15" i="1"/>
  <c r="BF15" i="1"/>
  <c r="BE15" i="1"/>
  <c r="BD15" i="1"/>
  <c r="BB15" i="1"/>
  <c r="BA15" i="1"/>
  <c r="AZ15" i="1"/>
  <c r="DQ15" i="1" s="1"/>
  <c r="AY15" i="1"/>
  <c r="AX15" i="1"/>
  <c r="AW15" i="1"/>
  <c r="AV15" i="1"/>
  <c r="AU15" i="1"/>
  <c r="AT15" i="1"/>
  <c r="AS15" i="1"/>
  <c r="AR15" i="1"/>
  <c r="AQ15" i="1"/>
  <c r="DP15" i="1" s="1"/>
  <c r="AP15" i="1"/>
  <c r="AO15" i="1"/>
  <c r="AM15" i="1"/>
  <c r="AL15" i="1"/>
  <c r="AK15" i="1"/>
  <c r="DN15" i="1" s="1"/>
  <c r="AJ15" i="1"/>
  <c r="AI15" i="1"/>
  <c r="AH15" i="1"/>
  <c r="AG15" i="1"/>
  <c r="AF15" i="1"/>
  <c r="AE15" i="1"/>
  <c r="AC15" i="1"/>
  <c r="AB15" i="1"/>
  <c r="AA15" i="1"/>
  <c r="Z15" i="1"/>
  <c r="X15" i="1"/>
  <c r="W15" i="1"/>
  <c r="V15" i="1"/>
  <c r="U15" i="1"/>
  <c r="T15" i="1"/>
  <c r="DK15" i="1" s="1"/>
  <c r="S15" i="1"/>
  <c r="R15" i="1"/>
  <c r="Q15" i="1"/>
  <c r="P15" i="1"/>
  <c r="O15" i="1"/>
  <c r="N15" i="1"/>
  <c r="M15" i="1"/>
  <c r="DJ15" i="1" s="1"/>
  <c r="L15" i="1"/>
  <c r="K15" i="1"/>
  <c r="I15" i="1"/>
  <c r="H15" i="1"/>
  <c r="DH14" i="1"/>
  <c r="DG14" i="1"/>
  <c r="DF14" i="1"/>
  <c r="DE14" i="1"/>
  <c r="DD14" i="1"/>
  <c r="EC14" i="1" s="1"/>
  <c r="DC14" i="1"/>
  <c r="DB14" i="1"/>
  <c r="DA14" i="1"/>
  <c r="EB14" i="1" s="1"/>
  <c r="CZ14" i="1"/>
  <c r="CY14" i="1"/>
  <c r="CX14" i="1"/>
  <c r="CW14" i="1"/>
  <c r="CV14" i="1"/>
  <c r="EA14" i="1" s="1"/>
  <c r="CU14" i="1"/>
  <c r="CT14" i="1"/>
  <c r="CS14" i="1"/>
  <c r="DZ14" i="1" s="1"/>
  <c r="CR14" i="1"/>
  <c r="CQ14" i="1"/>
  <c r="CP14" i="1"/>
  <c r="CO14" i="1"/>
  <c r="CN14" i="1"/>
  <c r="CM14" i="1"/>
  <c r="CL14" i="1"/>
  <c r="CK14" i="1"/>
  <c r="DY14" i="1" s="1"/>
  <c r="CJ14" i="1"/>
  <c r="CI14" i="1"/>
  <c r="CH14" i="1"/>
  <c r="CG14" i="1"/>
  <c r="DX14" i="1" s="1"/>
  <c r="CF14" i="1"/>
  <c r="CE14" i="1"/>
  <c r="CD14" i="1"/>
  <c r="CC14" i="1"/>
  <c r="CB14" i="1"/>
  <c r="CA14" i="1"/>
  <c r="DW14" i="1" s="1"/>
  <c r="BZ14" i="1"/>
  <c r="BY14" i="1"/>
  <c r="BX14" i="1"/>
  <c r="BW14" i="1"/>
  <c r="DV14" i="1" s="1"/>
  <c r="BV14" i="1"/>
  <c r="BU14" i="1"/>
  <c r="BT14" i="1"/>
  <c r="BS14" i="1"/>
  <c r="BR14" i="1"/>
  <c r="BP14" i="1"/>
  <c r="BO14" i="1"/>
  <c r="BN14" i="1"/>
  <c r="BM14" i="1"/>
  <c r="DT14" i="1" s="1"/>
  <c r="BL14" i="1"/>
  <c r="BK14" i="1"/>
  <c r="BJ14" i="1"/>
  <c r="BI14" i="1"/>
  <c r="BG14" i="1"/>
  <c r="BF14" i="1"/>
  <c r="BE14" i="1"/>
  <c r="BD14" i="1"/>
  <c r="BB14" i="1"/>
  <c r="BA14" i="1"/>
  <c r="AZ14" i="1"/>
  <c r="DQ14" i="1" s="1"/>
  <c r="AY14" i="1"/>
  <c r="AX14" i="1"/>
  <c r="AW14" i="1"/>
  <c r="AV14" i="1"/>
  <c r="AU14" i="1"/>
  <c r="AT14" i="1"/>
  <c r="AR14" i="1"/>
  <c r="AQ14" i="1"/>
  <c r="AP14" i="1"/>
  <c r="AO14" i="1"/>
  <c r="AM14" i="1"/>
  <c r="AL14" i="1"/>
  <c r="AK14" i="1"/>
  <c r="DN14" i="1" s="1"/>
  <c r="AJ14" i="1"/>
  <c r="AI14" i="1"/>
  <c r="AH14" i="1"/>
  <c r="AG14" i="1"/>
  <c r="AF14" i="1"/>
  <c r="AE14" i="1"/>
  <c r="AC14" i="1"/>
  <c r="AB14" i="1"/>
  <c r="AA14" i="1"/>
  <c r="Z14" i="1"/>
  <c r="X14" i="1"/>
  <c r="W14" i="1"/>
  <c r="V14" i="1"/>
  <c r="U14" i="1"/>
  <c r="T14" i="1"/>
  <c r="DK14" i="1" s="1"/>
  <c r="S14" i="1"/>
  <c r="R14" i="1"/>
  <c r="Q14" i="1"/>
  <c r="P14" i="1"/>
  <c r="O14" i="1"/>
  <c r="N14" i="1"/>
  <c r="M14" i="1"/>
  <c r="DJ14" i="1" s="1"/>
  <c r="L14" i="1"/>
  <c r="K14" i="1"/>
  <c r="I14" i="1"/>
  <c r="H14" i="1"/>
  <c r="DY13" i="1"/>
  <c r="DH13" i="1"/>
  <c r="DG13" i="1"/>
  <c r="DF13" i="1"/>
  <c r="DE13" i="1"/>
  <c r="DD13" i="1"/>
  <c r="EC13" i="1" s="1"/>
  <c r="DC13" i="1"/>
  <c r="DB13" i="1"/>
  <c r="DA13" i="1"/>
  <c r="EB13" i="1" s="1"/>
  <c r="CZ13" i="1"/>
  <c r="CY13" i="1"/>
  <c r="CX13" i="1"/>
  <c r="CW13" i="1"/>
  <c r="CV13" i="1"/>
  <c r="EA13" i="1" s="1"/>
  <c r="CU13" i="1"/>
  <c r="CT13" i="1"/>
  <c r="CS13" i="1"/>
  <c r="DZ13" i="1" s="1"/>
  <c r="CR13" i="1"/>
  <c r="CQ13" i="1"/>
  <c r="CP13" i="1"/>
  <c r="CO13" i="1"/>
  <c r="CN13" i="1"/>
  <c r="CM13" i="1"/>
  <c r="CL13" i="1"/>
  <c r="CK13" i="1"/>
  <c r="CJ13" i="1"/>
  <c r="CI13" i="1"/>
  <c r="CH13" i="1"/>
  <c r="CG13" i="1"/>
  <c r="DX13" i="1" s="1"/>
  <c r="CF13" i="1"/>
  <c r="CE13" i="1"/>
  <c r="CD13" i="1"/>
  <c r="CC13" i="1"/>
  <c r="CB13" i="1"/>
  <c r="CA13" i="1"/>
  <c r="DW13" i="1" s="1"/>
  <c r="BZ13" i="1"/>
  <c r="BY13" i="1"/>
  <c r="BX13" i="1"/>
  <c r="BW13" i="1"/>
  <c r="DV13" i="1" s="1"/>
  <c r="BV13" i="1"/>
  <c r="BU13" i="1"/>
  <c r="BT13" i="1"/>
  <c r="BS13" i="1"/>
  <c r="BR13" i="1"/>
  <c r="BQ13" i="1"/>
  <c r="BP13" i="1"/>
  <c r="DU13" i="1" s="1"/>
  <c r="BO13" i="1"/>
  <c r="BN13" i="1"/>
  <c r="BM13" i="1"/>
  <c r="DT13" i="1" s="1"/>
  <c r="BL13" i="1"/>
  <c r="BK13" i="1"/>
  <c r="BJ13" i="1"/>
  <c r="BI13" i="1"/>
  <c r="BG13" i="1"/>
  <c r="BF13" i="1"/>
  <c r="BE13" i="1"/>
  <c r="BD13" i="1"/>
  <c r="BB13" i="1"/>
  <c r="BA13" i="1"/>
  <c r="AZ13" i="1"/>
  <c r="DQ13" i="1" s="1"/>
  <c r="AY13" i="1"/>
  <c r="AX13" i="1"/>
  <c r="AW13" i="1"/>
  <c r="AV13" i="1"/>
  <c r="AU13" i="1"/>
  <c r="AT13" i="1"/>
  <c r="AS13" i="1"/>
  <c r="AR13" i="1"/>
  <c r="AQ13" i="1"/>
  <c r="DP13" i="1" s="1"/>
  <c r="AP13" i="1"/>
  <c r="AO13" i="1"/>
  <c r="AM13" i="1"/>
  <c r="AL13" i="1"/>
  <c r="AK13" i="1"/>
  <c r="DN13" i="1" s="1"/>
  <c r="AJ13" i="1"/>
  <c r="AI13" i="1"/>
  <c r="AH13" i="1"/>
  <c r="AG13" i="1"/>
  <c r="AF13" i="1"/>
  <c r="AE13" i="1"/>
  <c r="AC13" i="1"/>
  <c r="AB13" i="1"/>
  <c r="AA13" i="1"/>
  <c r="Z13" i="1"/>
  <c r="X13" i="1"/>
  <c r="W13" i="1"/>
  <c r="V13" i="1"/>
  <c r="U13" i="1"/>
  <c r="T13" i="1"/>
  <c r="DK13" i="1" s="1"/>
  <c r="S13" i="1"/>
  <c r="R13" i="1"/>
  <c r="Q13" i="1"/>
  <c r="P13" i="1"/>
  <c r="O13" i="1"/>
  <c r="N13" i="1"/>
  <c r="M13" i="1"/>
  <c r="DJ13" i="1" s="1"/>
  <c r="L13" i="1"/>
  <c r="K13" i="1"/>
  <c r="I13" i="1"/>
  <c r="H13" i="1"/>
  <c r="DH12" i="1"/>
  <c r="DG12" i="1"/>
  <c r="DF12" i="1"/>
  <c r="DE12" i="1"/>
  <c r="DD12" i="1"/>
  <c r="EC12" i="1" s="1"/>
  <c r="DC12" i="1"/>
  <c r="DB12" i="1"/>
  <c r="DA12" i="1"/>
  <c r="EB12" i="1" s="1"/>
  <c r="CZ12" i="1"/>
  <c r="CY12" i="1"/>
  <c r="CX12" i="1"/>
  <c r="CW12" i="1"/>
  <c r="CV12" i="1"/>
  <c r="EA12" i="1" s="1"/>
  <c r="CU12" i="1"/>
  <c r="CT12" i="1"/>
  <c r="CS12" i="1"/>
  <c r="DZ12" i="1" s="1"/>
  <c r="CR12" i="1"/>
  <c r="CQ12" i="1"/>
  <c r="CP12" i="1"/>
  <c r="CO12" i="1"/>
  <c r="CN12" i="1"/>
  <c r="CM12" i="1"/>
  <c r="CL12" i="1"/>
  <c r="CK12" i="1"/>
  <c r="DY12" i="1" s="1"/>
  <c r="CJ12" i="1"/>
  <c r="CI12" i="1"/>
  <c r="CH12" i="1"/>
  <c r="CG12" i="1"/>
  <c r="DX12" i="1" s="1"/>
  <c r="CF12" i="1"/>
  <c r="CE12" i="1"/>
  <c r="CD12" i="1"/>
  <c r="CC12" i="1"/>
  <c r="CB12" i="1"/>
  <c r="CA12" i="1"/>
  <c r="DW12" i="1" s="1"/>
  <c r="BZ12" i="1"/>
  <c r="BY12" i="1"/>
  <c r="BX12" i="1"/>
  <c r="BW12" i="1"/>
  <c r="DV12" i="1" s="1"/>
  <c r="BV12" i="1"/>
  <c r="BU12" i="1"/>
  <c r="BT12" i="1"/>
  <c r="BS12" i="1"/>
  <c r="BR12" i="1"/>
  <c r="BP12" i="1"/>
  <c r="BO12" i="1"/>
  <c r="BN12" i="1"/>
  <c r="BM12" i="1"/>
  <c r="DT12" i="1" s="1"/>
  <c r="BL12" i="1"/>
  <c r="BK12" i="1"/>
  <c r="BJ12" i="1"/>
  <c r="BI12" i="1"/>
  <c r="BG12" i="1"/>
  <c r="BF12" i="1"/>
  <c r="BE12" i="1"/>
  <c r="BD12" i="1"/>
  <c r="BB12" i="1"/>
  <c r="BA12" i="1"/>
  <c r="AZ12" i="1"/>
  <c r="DQ12" i="1" s="1"/>
  <c r="AY12" i="1"/>
  <c r="AX12" i="1"/>
  <c r="AW12" i="1"/>
  <c r="AV12" i="1"/>
  <c r="AU12" i="1"/>
  <c r="AT12" i="1"/>
  <c r="AR12" i="1"/>
  <c r="AQ12" i="1"/>
  <c r="AP12" i="1"/>
  <c r="AO12" i="1"/>
  <c r="AM12" i="1"/>
  <c r="AL12" i="1"/>
  <c r="AK12" i="1"/>
  <c r="DN12" i="1" s="1"/>
  <c r="AJ12" i="1"/>
  <c r="AI12" i="1"/>
  <c r="AH12" i="1"/>
  <c r="AG12" i="1"/>
  <c r="AF12" i="1"/>
  <c r="AE12" i="1"/>
  <c r="AC12" i="1"/>
  <c r="AB12" i="1"/>
  <c r="AA12" i="1"/>
  <c r="Z12" i="1"/>
  <c r="X12" i="1"/>
  <c r="W12" i="1"/>
  <c r="V12" i="1"/>
  <c r="U12" i="1"/>
  <c r="T12" i="1"/>
  <c r="DK12" i="1" s="1"/>
  <c r="S12" i="1"/>
  <c r="R12" i="1"/>
  <c r="Q12" i="1"/>
  <c r="P12" i="1"/>
  <c r="O12" i="1"/>
  <c r="N12" i="1"/>
  <c r="M12" i="1"/>
  <c r="DJ12" i="1" s="1"/>
  <c r="L12" i="1"/>
  <c r="K12" i="1"/>
  <c r="I12" i="1"/>
  <c r="H12" i="1"/>
  <c r="DY11" i="1"/>
  <c r="DH11" i="1"/>
  <c r="DG11" i="1"/>
  <c r="DF11" i="1"/>
  <c r="DE11" i="1"/>
  <c r="DD11" i="1"/>
  <c r="EC11" i="1" s="1"/>
  <c r="DC11" i="1"/>
  <c r="DB11" i="1"/>
  <c r="DA11" i="1"/>
  <c r="EB11" i="1" s="1"/>
  <c r="CZ11" i="1"/>
  <c r="CY11" i="1"/>
  <c r="CX11" i="1"/>
  <c r="CW11" i="1"/>
  <c r="CV11" i="1"/>
  <c r="EA11" i="1" s="1"/>
  <c r="CU11" i="1"/>
  <c r="CT11" i="1"/>
  <c r="CS11" i="1"/>
  <c r="DZ11" i="1" s="1"/>
  <c r="CR11" i="1"/>
  <c r="CQ11" i="1"/>
  <c r="CP11" i="1"/>
  <c r="CO11" i="1"/>
  <c r="CN11" i="1"/>
  <c r="CM11" i="1"/>
  <c r="CL11" i="1"/>
  <c r="CK11" i="1"/>
  <c r="CJ11" i="1"/>
  <c r="CI11" i="1"/>
  <c r="CH11" i="1"/>
  <c r="CG11" i="1"/>
  <c r="DX11" i="1" s="1"/>
  <c r="CF11" i="1"/>
  <c r="CE11" i="1"/>
  <c r="CD11" i="1"/>
  <c r="CC11" i="1"/>
  <c r="CB11" i="1"/>
  <c r="CA11" i="1"/>
  <c r="DW11" i="1" s="1"/>
  <c r="BZ11" i="1"/>
  <c r="BY11" i="1"/>
  <c r="BX11" i="1"/>
  <c r="BW11" i="1"/>
  <c r="DV11" i="1" s="1"/>
  <c r="BV11" i="1"/>
  <c r="BU11" i="1"/>
  <c r="BT11" i="1"/>
  <c r="BS11" i="1"/>
  <c r="BR11" i="1"/>
  <c r="BQ11" i="1"/>
  <c r="BP11" i="1"/>
  <c r="DU11" i="1" s="1"/>
  <c r="BO11" i="1"/>
  <c r="BN11" i="1"/>
  <c r="BM11" i="1"/>
  <c r="DT11" i="1" s="1"/>
  <c r="BL11" i="1"/>
  <c r="BK11" i="1"/>
  <c r="BJ11" i="1"/>
  <c r="BI11" i="1"/>
  <c r="BG11" i="1"/>
  <c r="BF11" i="1"/>
  <c r="BE11" i="1"/>
  <c r="BD11" i="1"/>
  <c r="BB11" i="1"/>
  <c r="BA11" i="1"/>
  <c r="AZ11" i="1"/>
  <c r="DQ11" i="1" s="1"/>
  <c r="AY11" i="1"/>
  <c r="AX11" i="1"/>
  <c r="AW11" i="1"/>
  <c r="AV11" i="1"/>
  <c r="AU11" i="1"/>
  <c r="AT11" i="1"/>
  <c r="AS11" i="1"/>
  <c r="AR11" i="1"/>
  <c r="AQ11" i="1"/>
  <c r="DP11" i="1" s="1"/>
  <c r="AP11" i="1"/>
  <c r="AO11" i="1"/>
  <c r="AM11" i="1"/>
  <c r="AL11" i="1"/>
  <c r="AK11" i="1"/>
  <c r="DN11" i="1" s="1"/>
  <c r="AJ11" i="1"/>
  <c r="AI11" i="1"/>
  <c r="AH11" i="1"/>
  <c r="AG11" i="1"/>
  <c r="AF11" i="1"/>
  <c r="AE11" i="1"/>
  <c r="AC11" i="1"/>
  <c r="AB11" i="1"/>
  <c r="AA11" i="1"/>
  <c r="Z11" i="1"/>
  <c r="X11" i="1"/>
  <c r="W11" i="1"/>
  <c r="V11" i="1"/>
  <c r="U11" i="1"/>
  <c r="T11" i="1"/>
  <c r="DK11" i="1" s="1"/>
  <c r="S11" i="1"/>
  <c r="R11" i="1"/>
  <c r="Q11" i="1"/>
  <c r="P11" i="1"/>
  <c r="O11" i="1"/>
  <c r="N11" i="1"/>
  <c r="M11" i="1"/>
  <c r="DJ11" i="1" s="1"/>
  <c r="L11" i="1"/>
  <c r="K11" i="1"/>
  <c r="I11" i="1"/>
  <c r="H11" i="1"/>
  <c r="DH10" i="1"/>
  <c r="DG10" i="1"/>
  <c r="DF10" i="1"/>
  <c r="DE10" i="1"/>
  <c r="DD10" i="1"/>
  <c r="EC10" i="1" s="1"/>
  <c r="DC10" i="1"/>
  <c r="DB10" i="1"/>
  <c r="DA10" i="1"/>
  <c r="EB10" i="1" s="1"/>
  <c r="CZ10" i="1"/>
  <c r="CY10" i="1"/>
  <c r="CX10" i="1"/>
  <c r="CW10" i="1"/>
  <c r="CV10" i="1"/>
  <c r="EA10" i="1" s="1"/>
  <c r="CU10" i="1"/>
  <c r="CT10" i="1"/>
  <c r="CS10" i="1"/>
  <c r="DZ10" i="1" s="1"/>
  <c r="CR10" i="1"/>
  <c r="CQ10" i="1"/>
  <c r="CP10" i="1"/>
  <c r="CO10" i="1"/>
  <c r="CN10" i="1"/>
  <c r="CM10" i="1"/>
  <c r="CL10" i="1"/>
  <c r="CK10" i="1"/>
  <c r="DY10" i="1" s="1"/>
  <c r="CJ10" i="1"/>
  <c r="CI10" i="1"/>
  <c r="CH10" i="1"/>
  <c r="CG10" i="1"/>
  <c r="DX10" i="1" s="1"/>
  <c r="CF10" i="1"/>
  <c r="CE10" i="1"/>
  <c r="CD10" i="1"/>
  <c r="CC10" i="1"/>
  <c r="CB10" i="1"/>
  <c r="CA10" i="1"/>
  <c r="DW10" i="1" s="1"/>
  <c r="BZ10" i="1"/>
  <c r="BY10" i="1"/>
  <c r="BX10" i="1"/>
  <c r="BW10" i="1"/>
  <c r="DV10" i="1" s="1"/>
  <c r="BV10" i="1"/>
  <c r="BU10" i="1"/>
  <c r="BT10" i="1"/>
  <c r="BS10" i="1"/>
  <c r="BR10" i="1"/>
  <c r="BP10" i="1"/>
  <c r="BO10" i="1"/>
  <c r="BN10" i="1"/>
  <c r="BM10" i="1"/>
  <c r="DT10" i="1" s="1"/>
  <c r="BL10" i="1"/>
  <c r="BK10" i="1"/>
  <c r="BJ10" i="1"/>
  <c r="BI10" i="1"/>
  <c r="BG10" i="1"/>
  <c r="BF10" i="1"/>
  <c r="BE10" i="1"/>
  <c r="BD10" i="1"/>
  <c r="BB10" i="1"/>
  <c r="BA10" i="1"/>
  <c r="AZ10" i="1"/>
  <c r="DQ10" i="1" s="1"/>
  <c r="AY10" i="1"/>
  <c r="AX10" i="1"/>
  <c r="AW10" i="1"/>
  <c r="AV10" i="1"/>
  <c r="AU10" i="1"/>
  <c r="AT10" i="1"/>
  <c r="AR10" i="1"/>
  <c r="AQ10" i="1"/>
  <c r="AP10" i="1"/>
  <c r="AO10" i="1"/>
  <c r="AM10" i="1"/>
  <c r="AL10" i="1"/>
  <c r="AK10" i="1"/>
  <c r="DN10" i="1" s="1"/>
  <c r="AJ10" i="1"/>
  <c r="AI10" i="1"/>
  <c r="AH10" i="1"/>
  <c r="AG10" i="1"/>
  <c r="AF10" i="1"/>
  <c r="AE10" i="1"/>
  <c r="AC10" i="1"/>
  <c r="AB10" i="1"/>
  <c r="AA10" i="1"/>
  <c r="Z10" i="1"/>
  <c r="X10" i="1"/>
  <c r="W10" i="1"/>
  <c r="V10" i="1"/>
  <c r="U10" i="1"/>
  <c r="T10" i="1"/>
  <c r="DK10" i="1" s="1"/>
  <c r="S10" i="1"/>
  <c r="R10" i="1"/>
  <c r="Q10" i="1"/>
  <c r="P10" i="1"/>
  <c r="O10" i="1"/>
  <c r="N10" i="1"/>
  <c r="M10" i="1"/>
  <c r="DJ10" i="1" s="1"/>
  <c r="L10" i="1"/>
  <c r="K10" i="1"/>
  <c r="I10" i="1"/>
  <c r="H10" i="1"/>
  <c r="DY9" i="1"/>
  <c r="DH9" i="1"/>
  <c r="DG9" i="1"/>
  <c r="DF9" i="1"/>
  <c r="DE9" i="1"/>
  <c r="DD9" i="1"/>
  <c r="EC9" i="1" s="1"/>
  <c r="DC9" i="1"/>
  <c r="DB9" i="1"/>
  <c r="DA9" i="1"/>
  <c r="EB9" i="1" s="1"/>
  <c r="CZ9" i="1"/>
  <c r="CY9" i="1"/>
  <c r="CX9" i="1"/>
  <c r="CW9" i="1"/>
  <c r="CV9" i="1"/>
  <c r="EA9" i="1" s="1"/>
  <c r="CU9" i="1"/>
  <c r="CT9" i="1"/>
  <c r="CS9" i="1"/>
  <c r="DZ9" i="1" s="1"/>
  <c r="CR9" i="1"/>
  <c r="CQ9" i="1"/>
  <c r="CP9" i="1"/>
  <c r="CO9" i="1"/>
  <c r="CN9" i="1"/>
  <c r="CM9" i="1"/>
  <c r="CL9" i="1"/>
  <c r="CK9" i="1"/>
  <c r="CJ9" i="1"/>
  <c r="CI9" i="1"/>
  <c r="CH9" i="1"/>
  <c r="CG9" i="1"/>
  <c r="DX9" i="1" s="1"/>
  <c r="CF9" i="1"/>
  <c r="CE9" i="1"/>
  <c r="CD9" i="1"/>
  <c r="CC9" i="1"/>
  <c r="CB9" i="1"/>
  <c r="CA9" i="1"/>
  <c r="DW9" i="1" s="1"/>
  <c r="BZ9" i="1"/>
  <c r="BY9" i="1"/>
  <c r="BX9" i="1"/>
  <c r="BW9" i="1"/>
  <c r="DV9" i="1" s="1"/>
  <c r="BV9" i="1"/>
  <c r="BU9" i="1"/>
  <c r="BT9" i="1"/>
  <c r="BS9" i="1"/>
  <c r="BR9" i="1"/>
  <c r="BQ9" i="1"/>
  <c r="BP9" i="1"/>
  <c r="DU9" i="1" s="1"/>
  <c r="BO9" i="1"/>
  <c r="BN9" i="1"/>
  <c r="BM9" i="1"/>
  <c r="DT9" i="1" s="1"/>
  <c r="BL9" i="1"/>
  <c r="BK9" i="1"/>
  <c r="BJ9" i="1"/>
  <c r="BI9" i="1"/>
  <c r="BG9" i="1"/>
  <c r="BF9" i="1"/>
  <c r="BE9" i="1"/>
  <c r="BD9" i="1"/>
  <c r="BB9" i="1"/>
  <c r="BA9" i="1"/>
  <c r="AZ9" i="1"/>
  <c r="DQ9" i="1" s="1"/>
  <c r="AY9" i="1"/>
  <c r="AX9" i="1"/>
  <c r="AW9" i="1"/>
  <c r="AV9" i="1"/>
  <c r="AU9" i="1"/>
  <c r="AT9" i="1"/>
  <c r="AS9" i="1"/>
  <c r="AR9" i="1"/>
  <c r="AQ9" i="1"/>
  <c r="DP9" i="1" s="1"/>
  <c r="AP9" i="1"/>
  <c r="AO9" i="1"/>
  <c r="AM9" i="1"/>
  <c r="AL9" i="1"/>
  <c r="AK9" i="1"/>
  <c r="DN9" i="1" s="1"/>
  <c r="AJ9" i="1"/>
  <c r="AI9" i="1"/>
  <c r="AH9" i="1"/>
  <c r="AG9" i="1"/>
  <c r="AF9" i="1"/>
  <c r="AE9" i="1"/>
  <c r="AC9" i="1"/>
  <c r="AB9" i="1"/>
  <c r="AA9" i="1"/>
  <c r="Z9" i="1"/>
  <c r="X9" i="1"/>
  <c r="W9" i="1"/>
  <c r="V9" i="1"/>
  <c r="U9" i="1"/>
  <c r="T9" i="1"/>
  <c r="DK9" i="1" s="1"/>
  <c r="S9" i="1"/>
  <c r="R9" i="1"/>
  <c r="Q9" i="1"/>
  <c r="P9" i="1"/>
  <c r="O9" i="1"/>
  <c r="N9" i="1"/>
  <c r="M9" i="1"/>
  <c r="DJ9" i="1" s="1"/>
  <c r="L9" i="1"/>
  <c r="K9" i="1"/>
  <c r="I9" i="1"/>
  <c r="H9" i="1"/>
  <c r="DH8" i="1"/>
  <c r="DG8" i="1"/>
  <c r="DF8" i="1"/>
  <c r="DE8" i="1"/>
  <c r="DD8" i="1"/>
  <c r="EC8" i="1" s="1"/>
  <c r="DC8" i="1"/>
  <c r="DB8" i="1"/>
  <c r="DA8" i="1"/>
  <c r="EB8" i="1" s="1"/>
  <c r="CZ8" i="1"/>
  <c r="CY8" i="1"/>
  <c r="CX8" i="1"/>
  <c r="CW8" i="1"/>
  <c r="CV8" i="1"/>
  <c r="EA8" i="1" s="1"/>
  <c r="CU8" i="1"/>
  <c r="CT8" i="1"/>
  <c r="CS8" i="1"/>
  <c r="DZ8" i="1" s="1"/>
  <c r="CR8" i="1"/>
  <c r="CQ8" i="1"/>
  <c r="CP8" i="1"/>
  <c r="CO8" i="1"/>
  <c r="CN8" i="1"/>
  <c r="CM8" i="1"/>
  <c r="CL8" i="1"/>
  <c r="CK8" i="1"/>
  <c r="DY8" i="1" s="1"/>
  <c r="CJ8" i="1"/>
  <c r="CI8" i="1"/>
  <c r="CH8" i="1"/>
  <c r="CG8" i="1"/>
  <c r="DX8" i="1" s="1"/>
  <c r="CF8" i="1"/>
  <c r="CE8" i="1"/>
  <c r="CD8" i="1"/>
  <c r="CC8" i="1"/>
  <c r="CB8" i="1"/>
  <c r="CA8" i="1"/>
  <c r="DW8" i="1" s="1"/>
  <c r="BZ8" i="1"/>
  <c r="BY8" i="1"/>
  <c r="BX8" i="1"/>
  <c r="BW8" i="1"/>
  <c r="DV8" i="1" s="1"/>
  <c r="BV8" i="1"/>
  <c r="BU8" i="1"/>
  <c r="BT8" i="1"/>
  <c r="BS8" i="1"/>
  <c r="BR8" i="1"/>
  <c r="BP8" i="1"/>
  <c r="BO8" i="1"/>
  <c r="BN8" i="1"/>
  <c r="BM8" i="1"/>
  <c r="DT8" i="1" s="1"/>
  <c r="BL8" i="1"/>
  <c r="BK8" i="1"/>
  <c r="BJ8" i="1"/>
  <c r="BI8" i="1"/>
  <c r="BG8" i="1"/>
  <c r="BF8" i="1"/>
  <c r="BE8" i="1"/>
  <c r="BD8" i="1"/>
  <c r="BB8" i="1"/>
  <c r="BA8" i="1"/>
  <c r="AZ8" i="1"/>
  <c r="DQ8" i="1" s="1"/>
  <c r="AY8" i="1"/>
  <c r="AX8" i="1"/>
  <c r="AW8" i="1"/>
  <c r="AV8" i="1"/>
  <c r="AU8" i="1"/>
  <c r="AT8" i="1"/>
  <c r="AR8" i="1"/>
  <c r="AQ8" i="1"/>
  <c r="AP8" i="1"/>
  <c r="AO8" i="1"/>
  <c r="AM8" i="1"/>
  <c r="AL8" i="1"/>
  <c r="AK8" i="1"/>
  <c r="DN8" i="1" s="1"/>
  <c r="AJ8" i="1"/>
  <c r="AI8" i="1"/>
  <c r="AH8" i="1"/>
  <c r="AG8" i="1"/>
  <c r="AF8" i="1"/>
  <c r="AE8" i="1"/>
  <c r="AC8" i="1"/>
  <c r="AB8" i="1"/>
  <c r="AA8" i="1"/>
  <c r="Z8" i="1"/>
  <c r="X8" i="1"/>
  <c r="W8" i="1"/>
  <c r="V8" i="1"/>
  <c r="U8" i="1"/>
  <c r="T8" i="1"/>
  <c r="DK8" i="1" s="1"/>
  <c r="S8" i="1"/>
  <c r="R8" i="1"/>
  <c r="Q8" i="1"/>
  <c r="P8" i="1"/>
  <c r="O8" i="1"/>
  <c r="N8" i="1"/>
  <c r="M8" i="1"/>
  <c r="DJ8" i="1" s="1"/>
  <c r="L8" i="1"/>
  <c r="K8" i="1"/>
  <c r="I8" i="1"/>
  <c r="H8" i="1"/>
  <c r="BQ6" i="1"/>
  <c r="BQ30" i="1" s="1"/>
  <c r="BH6" i="1"/>
  <c r="BH31" i="1" s="1"/>
  <c r="BC6" i="1"/>
  <c r="BC30" i="1" s="1"/>
  <c r="AS6" i="1"/>
  <c r="AS30" i="1" s="1"/>
  <c r="AN6" i="1"/>
  <c r="AN30" i="1" s="1"/>
  <c r="AD6" i="1"/>
  <c r="AD30" i="1" s="1"/>
  <c r="Y6" i="1"/>
  <c r="Y31" i="1" s="1"/>
  <c r="J6" i="1"/>
  <c r="J31" i="1" s="1"/>
  <c r="DI4" i="1"/>
  <c r="CE4" i="1"/>
  <c r="DX4" i="1" s="1"/>
  <c r="BP4" i="1"/>
  <c r="DU4" i="1" s="1"/>
  <c r="BA4" i="1"/>
  <c r="DR4" i="1" s="1"/>
  <c r="AL4" i="1"/>
  <c r="DO4" i="1" s="1"/>
  <c r="W4" i="1"/>
  <c r="DL4" i="1" s="1"/>
  <c r="DO22" i="1" l="1"/>
  <c r="DI28" i="1"/>
  <c r="DR21" i="1"/>
  <c r="DS29" i="1"/>
  <c r="DU30" i="1"/>
  <c r="DP16" i="1"/>
  <c r="DL18" i="1"/>
  <c r="DO23" i="1"/>
  <c r="DI29" i="1"/>
  <c r="DR17" i="1"/>
  <c r="DR8" i="1"/>
  <c r="DM12" i="1"/>
  <c r="DI15" i="1"/>
  <c r="DI24" i="1"/>
  <c r="DL28" i="1"/>
  <c r="DL23" i="1"/>
  <c r="DU8" i="1"/>
  <c r="DR23" i="1"/>
  <c r="DI25" i="1"/>
  <c r="DS31" i="1"/>
  <c r="DS17" i="1"/>
  <c r="DU18" i="1"/>
  <c r="DL24" i="1"/>
  <c r="DO29" i="1"/>
  <c r="DR14" i="1"/>
  <c r="DR19" i="1"/>
  <c r="DI30" i="1"/>
  <c r="DL11" i="1"/>
  <c r="DS13" i="1"/>
  <c r="DU14" i="1"/>
  <c r="DI16" i="1"/>
  <c r="DP18" i="1"/>
  <c r="DR29" i="1"/>
  <c r="DI31" i="1"/>
  <c r="DO11" i="1"/>
  <c r="DR15" i="1"/>
  <c r="DI17" i="1"/>
  <c r="DI19" i="1"/>
  <c r="DU26" i="1"/>
  <c r="DS9" i="1"/>
  <c r="DU10" i="1"/>
  <c r="DP14" i="1"/>
  <c r="DL16" i="1"/>
  <c r="DR20" i="1"/>
  <c r="DI27" i="1"/>
  <c r="DO30" i="1"/>
  <c r="DL31" i="1"/>
  <c r="DI18" i="1"/>
  <c r="DM10" i="1"/>
  <c r="DO16" i="1"/>
  <c r="DS19" i="1"/>
  <c r="DR30" i="1"/>
  <c r="DO31" i="1"/>
  <c r="AS8" i="1"/>
  <c r="DP8" i="1" s="1"/>
  <c r="BQ8" i="1"/>
  <c r="AS10" i="1"/>
  <c r="DP10" i="1" s="1"/>
  <c r="BQ10" i="1"/>
  <c r="AS12" i="1"/>
  <c r="DP12" i="1" s="1"/>
  <c r="BQ12" i="1"/>
  <c r="DU12" i="1" s="1"/>
  <c r="AS14" i="1"/>
  <c r="BQ14" i="1"/>
  <c r="AS16" i="1"/>
  <c r="BQ16" i="1"/>
  <c r="DU16" i="1" s="1"/>
  <c r="AS18" i="1"/>
  <c r="BQ18" i="1"/>
  <c r="AS20" i="1"/>
  <c r="DP20" i="1" s="1"/>
  <c r="BQ20" i="1"/>
  <c r="DU20" i="1" s="1"/>
  <c r="AS22" i="1"/>
  <c r="DP22" i="1" s="1"/>
  <c r="BQ22" i="1"/>
  <c r="DU22" i="1" s="1"/>
  <c r="AS24" i="1"/>
  <c r="DP24" i="1" s="1"/>
  <c r="BQ24" i="1"/>
  <c r="DU24" i="1" s="1"/>
  <c r="AS26" i="1"/>
  <c r="DP26" i="1" s="1"/>
  <c r="BQ26" i="1"/>
  <c r="AS28" i="1"/>
  <c r="DP28" i="1" s="1"/>
  <c r="BQ28" i="1"/>
  <c r="DU28" i="1" s="1"/>
  <c r="J8" i="1"/>
  <c r="DI8" i="1" s="1"/>
  <c r="AN9" i="1"/>
  <c r="DO9" i="1" s="1"/>
  <c r="J10" i="1"/>
  <c r="DI10" i="1" s="1"/>
  <c r="AN11" i="1"/>
  <c r="J12" i="1"/>
  <c r="DI12" i="1" s="1"/>
  <c r="AN13" i="1"/>
  <c r="DO13" i="1" s="1"/>
  <c r="J14" i="1"/>
  <c r="DI14" i="1" s="1"/>
  <c r="AN15" i="1"/>
  <c r="DO15" i="1" s="1"/>
  <c r="J16" i="1"/>
  <c r="AN17" i="1"/>
  <c r="DO17" i="1" s="1"/>
  <c r="J18" i="1"/>
  <c r="AN19" i="1"/>
  <c r="DO19" i="1" s="1"/>
  <c r="J20" i="1"/>
  <c r="DI20" i="1" s="1"/>
  <c r="AN21" i="1"/>
  <c r="DO21" i="1" s="1"/>
  <c r="J22" i="1"/>
  <c r="DI22" i="1" s="1"/>
  <c r="AN23" i="1"/>
  <c r="J24" i="1"/>
  <c r="AN25" i="1"/>
  <c r="DO25" i="1" s="1"/>
  <c r="J26" i="1"/>
  <c r="DI26" i="1" s="1"/>
  <c r="AN27" i="1"/>
  <c r="DO27" i="1" s="1"/>
  <c r="J28" i="1"/>
  <c r="AN29" i="1"/>
  <c r="J30" i="1"/>
  <c r="AN31" i="1"/>
  <c r="BH8" i="1"/>
  <c r="DS8" i="1" s="1"/>
  <c r="AD9" i="1"/>
  <c r="DM9" i="1" s="1"/>
  <c r="BH10" i="1"/>
  <c r="DS10" i="1" s="1"/>
  <c r="AD11" i="1"/>
  <c r="DM11" i="1" s="1"/>
  <c r="BH12" i="1"/>
  <c r="DS12" i="1" s="1"/>
  <c r="AD13" i="1"/>
  <c r="DM13" i="1" s="1"/>
  <c r="BH14" i="1"/>
  <c r="DS14" i="1" s="1"/>
  <c r="AD15" i="1"/>
  <c r="DM15" i="1" s="1"/>
  <c r="BH16" i="1"/>
  <c r="DS16" i="1" s="1"/>
  <c r="AD17" i="1"/>
  <c r="DM17" i="1" s="1"/>
  <c r="BH18" i="1"/>
  <c r="DS18" i="1" s="1"/>
  <c r="AD19" i="1"/>
  <c r="DM19" i="1" s="1"/>
  <c r="BH20" i="1"/>
  <c r="DS20" i="1" s="1"/>
  <c r="AD21" i="1"/>
  <c r="DM21" i="1" s="1"/>
  <c r="BH22" i="1"/>
  <c r="DS22" i="1" s="1"/>
  <c r="AD23" i="1"/>
  <c r="DM23" i="1" s="1"/>
  <c r="BH24" i="1"/>
  <c r="DS24" i="1" s="1"/>
  <c r="AD25" i="1"/>
  <c r="DM25" i="1" s="1"/>
  <c r="BH26" i="1"/>
  <c r="DS26" i="1" s="1"/>
  <c r="AD27" i="1"/>
  <c r="DM27" i="1" s="1"/>
  <c r="BH28" i="1"/>
  <c r="DS28" i="1" s="1"/>
  <c r="AD29" i="1"/>
  <c r="DM29" i="1" s="1"/>
  <c r="BH30" i="1"/>
  <c r="DS30" i="1" s="1"/>
  <c r="AD31" i="1"/>
  <c r="DM31" i="1" s="1"/>
  <c r="Y8" i="1"/>
  <c r="DL8" i="1" s="1"/>
  <c r="BC9" i="1"/>
  <c r="DR9" i="1" s="1"/>
  <c r="Y10" i="1"/>
  <c r="DL10" i="1" s="1"/>
  <c r="BC11" i="1"/>
  <c r="DR11" i="1" s="1"/>
  <c r="Y12" i="1"/>
  <c r="DL12" i="1" s="1"/>
  <c r="BC13" i="1"/>
  <c r="DR13" i="1" s="1"/>
  <c r="Y14" i="1"/>
  <c r="DL14" i="1" s="1"/>
  <c r="BC15" i="1"/>
  <c r="Y16" i="1"/>
  <c r="BC17" i="1"/>
  <c r="Y18" i="1"/>
  <c r="BC19" i="1"/>
  <c r="Y20" i="1"/>
  <c r="DL20" i="1" s="1"/>
  <c r="BC21" i="1"/>
  <c r="Y22" i="1"/>
  <c r="DL22" i="1" s="1"/>
  <c r="BC23" i="1"/>
  <c r="Y24" i="1"/>
  <c r="BC25" i="1"/>
  <c r="DR25" i="1" s="1"/>
  <c r="Y26" i="1"/>
  <c r="DL26" i="1" s="1"/>
  <c r="BC27" i="1"/>
  <c r="DR27" i="1" s="1"/>
  <c r="Y28" i="1"/>
  <c r="BC29" i="1"/>
  <c r="Y30" i="1"/>
  <c r="DL30" i="1" s="1"/>
  <c r="BC31" i="1"/>
  <c r="DR31" i="1" s="1"/>
  <c r="CT4" i="1"/>
  <c r="EA4" i="1" s="1"/>
  <c r="AN8" i="1"/>
  <c r="DO8" i="1" s="1"/>
  <c r="J9" i="1"/>
  <c r="DI9" i="1" s="1"/>
  <c r="AN10" i="1"/>
  <c r="DO10" i="1" s="1"/>
  <c r="J11" i="1"/>
  <c r="DI11" i="1" s="1"/>
  <c r="AN12" i="1"/>
  <c r="DO12" i="1" s="1"/>
  <c r="J13" i="1"/>
  <c r="DI13" i="1" s="1"/>
  <c r="AN14" i="1"/>
  <c r="DO14" i="1" s="1"/>
  <c r="J15" i="1"/>
  <c r="AN16" i="1"/>
  <c r="J17" i="1"/>
  <c r="AN18" i="1"/>
  <c r="DO18" i="1" s="1"/>
  <c r="J19" i="1"/>
  <c r="AN20" i="1"/>
  <c r="DO20" i="1" s="1"/>
  <c r="J21" i="1"/>
  <c r="DI21" i="1" s="1"/>
  <c r="AN22" i="1"/>
  <c r="J23" i="1"/>
  <c r="DI23" i="1" s="1"/>
  <c r="AN24" i="1"/>
  <c r="DO24" i="1" s="1"/>
  <c r="J25" i="1"/>
  <c r="AN26" i="1"/>
  <c r="DO26" i="1" s="1"/>
  <c r="J27" i="1"/>
  <c r="AN28" i="1"/>
  <c r="DO28" i="1" s="1"/>
  <c r="J29" i="1"/>
  <c r="AD8" i="1"/>
  <c r="DM8" i="1" s="1"/>
  <c r="BH9" i="1"/>
  <c r="AD10" i="1"/>
  <c r="BH11" i="1"/>
  <c r="DS11" i="1" s="1"/>
  <c r="AD12" i="1"/>
  <c r="BH13" i="1"/>
  <c r="AD14" i="1"/>
  <c r="DM14" i="1" s="1"/>
  <c r="BH15" i="1"/>
  <c r="DS15" i="1" s="1"/>
  <c r="AD16" i="1"/>
  <c r="DM16" i="1" s="1"/>
  <c r="BH17" i="1"/>
  <c r="AD18" i="1"/>
  <c r="DM18" i="1" s="1"/>
  <c r="BH19" i="1"/>
  <c r="AD20" i="1"/>
  <c r="DM20" i="1" s="1"/>
  <c r="BH21" i="1"/>
  <c r="DS21" i="1" s="1"/>
  <c r="AD22" i="1"/>
  <c r="DM22" i="1" s="1"/>
  <c r="BH23" i="1"/>
  <c r="DS23" i="1" s="1"/>
  <c r="AD24" i="1"/>
  <c r="DM24" i="1" s="1"/>
  <c r="BH25" i="1"/>
  <c r="DS25" i="1" s="1"/>
  <c r="AD26" i="1"/>
  <c r="DM26" i="1" s="1"/>
  <c r="BH27" i="1"/>
  <c r="DS27" i="1" s="1"/>
  <c r="AD28" i="1"/>
  <c r="DM28" i="1" s="1"/>
  <c r="BH29" i="1"/>
  <c r="BC8" i="1"/>
  <c r="Y9" i="1"/>
  <c r="DL9" i="1" s="1"/>
  <c r="BC10" i="1"/>
  <c r="DR10" i="1" s="1"/>
  <c r="Y11" i="1"/>
  <c r="BC12" i="1"/>
  <c r="DR12" i="1" s="1"/>
  <c r="Y13" i="1"/>
  <c r="DL13" i="1" s="1"/>
  <c r="BC14" i="1"/>
  <c r="Y15" i="1"/>
  <c r="DL15" i="1" s="1"/>
  <c r="BC16" i="1"/>
  <c r="DR16" i="1" s="1"/>
  <c r="Y17" i="1"/>
  <c r="DL17" i="1" s="1"/>
  <c r="BC18" i="1"/>
  <c r="DR18" i="1" s="1"/>
  <c r="Y19" i="1"/>
  <c r="DL19" i="1" s="1"/>
  <c r="BC20" i="1"/>
  <c r="Y21" i="1"/>
  <c r="DL21" i="1" s="1"/>
  <c r="BC22" i="1"/>
  <c r="DR22" i="1" s="1"/>
  <c r="Y23" i="1"/>
  <c r="BC24" i="1"/>
  <c r="DR24" i="1" s="1"/>
  <c r="Y25" i="1"/>
  <c r="DL25" i="1" s="1"/>
  <c r="BC26" i="1"/>
  <c r="DR26" i="1" s="1"/>
  <c r="Y27" i="1"/>
  <c r="DL27" i="1" s="1"/>
  <c r="BC28" i="1"/>
  <c r="DR28" i="1" s="1"/>
  <c r="Y29" i="1"/>
  <c r="DL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KPF_QA04</author>
    <author>KPF_QA01</author>
  </authors>
  <commentList>
    <comment ref="G8" authorId="0" shapeId="0" xr:uid="{FEA3861F-734B-43C5-8DFE-2B50FEBF4351}">
      <text>
        <r>
          <rPr>
            <b/>
            <sz val="9"/>
            <color indexed="81"/>
            <rFont val="Tahoma"/>
            <family val="2"/>
          </rPr>
          <t>KPF_QA04:</t>
        </r>
        <r>
          <rPr>
            <sz val="9"/>
            <color indexed="81"/>
            <rFont val="Tahoma"/>
            <family val="2"/>
          </rPr>
          <t xml:space="preserve">
60ปี๊บ/ชุดแป้ง</t>
        </r>
      </text>
    </comment>
    <comment ref="G9" authorId="0" shapeId="0" xr:uid="{1A87AE4E-3FE4-4D14-B501-B89033977C67}">
      <text>
        <r>
          <rPr>
            <b/>
            <sz val="9"/>
            <color indexed="81"/>
            <rFont val="Tahoma"/>
            <family val="2"/>
          </rPr>
          <t>KPF_QA04:</t>
        </r>
        <r>
          <rPr>
            <sz val="9"/>
            <color indexed="81"/>
            <rFont val="Tahoma"/>
            <family val="2"/>
          </rPr>
          <t xml:space="preserve">
60ปี๊บ/ชุดแป้ง</t>
        </r>
      </text>
    </comment>
    <comment ref="G11" authorId="0" shapeId="0" xr:uid="{E6A60610-51B7-406F-844D-677DEC7B5219}">
      <text>
        <r>
          <rPr>
            <b/>
            <sz val="9"/>
            <color indexed="81"/>
            <rFont val="Tahoma"/>
            <family val="2"/>
          </rPr>
          <t>KPF_QA04:</t>
        </r>
        <r>
          <rPr>
            <sz val="9"/>
            <color indexed="81"/>
            <rFont val="Tahoma"/>
            <family val="2"/>
          </rPr>
          <t xml:space="preserve">
ปี๊บ L ใส่ 3แผ่น/ปี๊บ
ปี๊บ XL ใส่ 4แผ่น/ปี๊บ
L 1 kg มีประมาณ 530 ใบ
XL 1 kg มีประมาณ 360 ใบ</t>
        </r>
      </text>
    </comment>
    <comment ref="G15" authorId="1" shapeId="0" xr:uid="{64AED545-C32F-4A4E-B860-D31FFF8D0B0A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เรนโบว์
สติ๊ก ระฆังทอง
ทุกตัวยกเว้น
ช็อก แฟนซี/มินิระฆัง</t>
        </r>
      </text>
    </comment>
    <comment ref="G16" authorId="1" shapeId="0" xr:uid="{295A3C76-DAB8-4EFB-8790-F98AA66CA622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สติ๊ก ระฆังทอง</t>
        </r>
      </text>
    </comment>
    <comment ref="G17" authorId="1" shapeId="0" xr:uid="{CCA2C516-4C65-4753-9206-0E0B070D529C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เท่ากับปี๊บ XL</t>
        </r>
      </text>
    </comment>
    <comment ref="G20" authorId="1" shapeId="0" xr:uid="{F37C7C68-FB9F-4F40-B4A4-1BDDBE176730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1 กก มี 1100ซอง
</t>
        </r>
      </text>
    </comment>
    <comment ref="G21" authorId="1" shapeId="0" xr:uid="{3D079A51-1493-454E-8B45-A2909334C77B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L 6ปี๊บ/กล่อง</t>
        </r>
      </text>
    </comment>
    <comment ref="G23" authorId="1" shapeId="0" xr:uid="{DC37AA79-4315-49C3-B7A1-AA527947AD2D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1แท่ง ประมาณ 60ปี๊บXL</t>
        </r>
      </text>
    </comment>
    <comment ref="G29" authorId="1" shapeId="0" xr:uid="{3F3BE0AC-DCEE-47EA-966F-74F18A2CFBFC}">
      <text>
        <r>
          <rPr>
            <b/>
            <sz val="9"/>
            <color indexed="81"/>
            <rFont val="Tahoma"/>
            <family val="2"/>
          </rPr>
          <t>KPF_QA01:</t>
        </r>
        <r>
          <rPr>
            <sz val="9"/>
            <color indexed="81"/>
            <rFont val="Tahoma"/>
            <family val="2"/>
          </rPr>
          <t xml:space="preserve">
1kg. = 10ใบ</t>
        </r>
      </text>
    </comment>
    <comment ref="G30" authorId="0" shapeId="0" xr:uid="{7C3320BB-796A-4472-B495-ECF8201F896A}">
      <text>
        <r>
          <rPr>
            <b/>
            <sz val="9"/>
            <color indexed="81"/>
            <rFont val="Tahoma"/>
            <family val="2"/>
          </rPr>
          <t>KPF_QA04:</t>
        </r>
        <r>
          <rPr>
            <sz val="9"/>
            <color indexed="81"/>
            <rFont val="Tahoma"/>
            <family val="2"/>
          </rPr>
          <t xml:space="preserve">
ถุง 1.0 กก. มีประมาณ 40 ใบ
1ชุดแป้ง ใช้ 20 ใบ
</t>
        </r>
      </text>
    </comment>
  </commentList>
</comments>
</file>

<file path=xl/sharedStrings.xml><?xml version="1.0" encoding="utf-8"?>
<sst xmlns="http://schemas.openxmlformats.org/spreadsheetml/2006/main" count="205" uniqueCount="66">
  <si>
    <t>สต็อกการเบิกใช้วัตถุดิบ เตาอบเวเฟอร์สติ๊ก</t>
  </si>
  <si>
    <t>คิดต่อ1ชุดแป้ง</t>
  </si>
  <si>
    <t>รหัส</t>
  </si>
  <si>
    <t>บรรจุภัณฑ์</t>
  </si>
  <si>
    <t>จำนวนสูตร ที่ผลิตได้ (ชุด) (คิดปริมาณวัตถุดิบ)</t>
  </si>
  <si>
    <t>คำนวนเป็นถุงเต็ม เพื่อเบิก</t>
  </si>
  <si>
    <t>PP</t>
  </si>
  <si>
    <t>RB 
(L)</t>
  </si>
  <si>
    <t>RB 
(XL)</t>
  </si>
  <si>
    <t>RB 
(minni)</t>
  </si>
  <si>
    <t>400 g.
(XL)</t>
  </si>
  <si>
    <t>กะ1</t>
  </si>
  <si>
    <t>กะ2</t>
  </si>
  <si>
    <t>กะ3</t>
  </si>
  <si>
    <t>RB (L)</t>
  </si>
  <si>
    <t>RB (XL)</t>
  </si>
  <si>
    <t>RB (mini)</t>
  </si>
  <si>
    <t>400 g.</t>
  </si>
  <si>
    <t>400 g</t>
  </si>
  <si>
    <t>P18-0015</t>
  </si>
  <si>
    <t xml:space="preserve">ปี๊บหน้าพลาสติกพร้อมฝา (Size L) </t>
  </si>
  <si>
    <t>P18-0002-1</t>
  </si>
  <si>
    <t xml:space="preserve">ปี๊บหน้ากระจก พร้อมฝา (Size XL) </t>
  </si>
  <si>
    <t>P18-0020</t>
  </si>
  <si>
    <t>ปี๊บพิมพ์ลายเวเฟอร์สติ๊ก 400กรัม +ฝา</t>
  </si>
  <si>
    <t>S04-0003-1</t>
  </si>
  <si>
    <t>แผ่นใส รองปี๊บ XL  29*30*0.03 cm.</t>
  </si>
  <si>
    <t>S04-0002-1</t>
  </si>
  <si>
    <t>PP-ใสแผ่นใสรองปี๊บ L  9*8*.03</t>
  </si>
  <si>
    <t>S01-0253</t>
  </si>
  <si>
    <t>KL - ฉลากติดปี๊บเวเฟอร์สติ๊กสอดไส้ครีม ช็อคโกแลต</t>
  </si>
  <si>
    <t>S01-0257</t>
  </si>
  <si>
    <t>KL - Sticker เวเฟอร์สติ๊กสอดไส้ครีม ช็อคโกแลต สีดำ size XL</t>
  </si>
  <si>
    <t>S01-0397</t>
  </si>
  <si>
    <t>Sticker สติ๊กส้ม ขาวเงา ตัวหนังสือสีแดง ขนาด 1.5X5cm</t>
  </si>
  <si>
    <t>สติ๊กเกอร์ บาร์โค้ด&amp;ฮาลาล(ใช้กับแฟนซีและลายจุด ระฆังทอง)</t>
  </si>
  <si>
    <t>S02-0010</t>
  </si>
  <si>
    <t>สายคาดปี๊ป</t>
  </si>
  <si>
    <t>S02-0013</t>
  </si>
  <si>
    <t>สายรัดกล่องสีน้ำเงิน พิพ์ตรา KPF 8 KG (ระฆังทอง)</t>
  </si>
  <si>
    <t xml:space="preserve">S02-0009 </t>
  </si>
  <si>
    <t>สายรัดกล่องสีเขียว 8 KG (KPF)</t>
  </si>
  <si>
    <t>R00-0032</t>
  </si>
  <si>
    <t>ถุงใสใส่แท่งเวเฟอร์สติ๊ก</t>
  </si>
  <si>
    <t>P14-6027</t>
  </si>
  <si>
    <t>KL-กล่องรวมสติ๊ก-ขาไก่ ตราระฆังทอง Size L (1,100 กรัม)</t>
  </si>
  <si>
    <t>P14-6025</t>
  </si>
  <si>
    <t>กล่องรวม 400 กรัม</t>
  </si>
  <si>
    <t>S03-0001-1</t>
  </si>
  <si>
    <t>กาวแท่งสีขุ่น</t>
  </si>
  <si>
    <t>S01-0022</t>
  </si>
  <si>
    <t>เทปกาว 2 หน้า บาง 12มิล ยาว 20 หลา</t>
  </si>
  <si>
    <t>S02-0005</t>
  </si>
  <si>
    <t>เทปกาวใส 100 หลา</t>
  </si>
  <si>
    <t>S02-0015</t>
  </si>
  <si>
    <t>เทปใส (Polyseal) ปี๊บ400ก.</t>
  </si>
  <si>
    <t>R00-0028-1</t>
  </si>
  <si>
    <t>ถุงรีดโค้ง (L) ขนาด 12 3/4 14.5*.07</t>
  </si>
  <si>
    <t>R00-0072</t>
  </si>
  <si>
    <t>ถุงใส IPP พับข้าง 2 นิ้ว 8*10.5*018</t>
  </si>
  <si>
    <t>R01-0001</t>
  </si>
  <si>
    <t>HD 40x35x0.10 ถุงรองกระบะ</t>
  </si>
  <si>
    <t>R00-0004</t>
  </si>
  <si>
    <t xml:space="preserve">ถุงใส 17*24(เวเฟอร์,สูตร)ไม่มีรู  ใส่ขนมผิงผิง </t>
  </si>
  <si>
    <t>N15-0002</t>
  </si>
  <si>
    <t>ฟิล์มยืดเอมสเตรซ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</si>
</sst>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1010000]d/m/yy;@"/>
    <numFmt numFmtId="188" formatCode="0.0"/>
    <numFmt numFmtId="189" formatCode="0.000"/>
  </numFmts>
  <fonts count="14" x14ac:knownFonts="1">
    <font>
      <sz val="11"/>
      <color theme="1"/>
      <name val="Tahoma"/>
      <family val="2"/>
      <charset val="222"/>
      <scheme val="minor"/>
    </font>
    <font>
      <u/>
      <sz val="20"/>
      <color theme="1"/>
      <name val="Tahoma"/>
      <family val="2"/>
    </font>
    <font>
      <sz val="20"/>
      <color theme="1"/>
      <name val="Tahoma"/>
      <family val="2"/>
    </font>
    <font>
      <sz val="20"/>
      <color rgb="FF7030A0"/>
      <name val="Tahoma"/>
      <family val="2"/>
    </font>
    <font>
      <sz val="20"/>
      <name val="Tahoma"/>
      <family val="2"/>
    </font>
    <font>
      <sz val="20"/>
      <color theme="0"/>
      <name val="Tahoma"/>
      <family val="2"/>
    </font>
    <font>
      <sz val="16"/>
      <color rgb="FF00B050"/>
      <name val="Tahoma"/>
      <family val="2"/>
    </font>
    <font>
      <sz val="16"/>
      <color indexed="8"/>
      <name val="Tahoma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6"/>
      <color theme="0"/>
      <name val="Tahoma"/>
      <family val="2"/>
    </font>
    <font>
      <sz val="16"/>
      <color rgb="FFFF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ECE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AFFF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87" fontId="3" fillId="3" borderId="8" xfId="0" applyNumberFormat="1" applyFont="1" applyFill="1" applyBorder="1" applyAlignment="1">
      <alignment horizontal="center" vertical="center"/>
    </xf>
    <xf numFmtId="187" fontId="3" fillId="3" borderId="9" xfId="0" applyNumberFormat="1" applyFont="1" applyFill="1" applyBorder="1" applyAlignment="1">
      <alignment horizontal="center" vertical="center"/>
    </xf>
    <xf numFmtId="187" fontId="3" fillId="3" borderId="10" xfId="0" applyNumberFormat="1" applyFont="1" applyFill="1" applyBorder="1" applyAlignment="1">
      <alignment horizontal="center" vertical="center"/>
    </xf>
    <xf numFmtId="187" fontId="3" fillId="3" borderId="11" xfId="0" applyNumberFormat="1" applyFont="1" applyFill="1" applyBorder="1" applyAlignment="1">
      <alignment horizontal="center" vertical="center"/>
    </xf>
    <xf numFmtId="187" fontId="3" fillId="3" borderId="12" xfId="0" applyNumberFormat="1" applyFont="1" applyFill="1" applyBorder="1" applyAlignment="1">
      <alignment horizontal="center" vertical="center"/>
    </xf>
    <xf numFmtId="187" fontId="3" fillId="3" borderId="13" xfId="0" applyNumberFormat="1" applyFont="1" applyFill="1" applyBorder="1" applyAlignment="1">
      <alignment horizontal="center" vertical="center"/>
    </xf>
    <xf numFmtId="187" fontId="3" fillId="3" borderId="7" xfId="0" applyNumberFormat="1" applyFont="1" applyFill="1" applyBorder="1" applyAlignment="1">
      <alignment horizontal="center" vertical="center"/>
    </xf>
    <xf numFmtId="187" fontId="3" fillId="3" borderId="5" xfId="0" applyNumberFormat="1" applyFont="1" applyFill="1" applyBorder="1" applyAlignment="1">
      <alignment horizontal="center" vertical="center"/>
    </xf>
    <xf numFmtId="14" fontId="4" fillId="4" borderId="11" xfId="0" quotePrefix="1" applyNumberFormat="1" applyFont="1" applyFill="1" applyBorder="1" applyAlignment="1">
      <alignment horizontal="center" vertical="center"/>
    </xf>
    <xf numFmtId="14" fontId="4" fillId="4" borderId="12" xfId="0" quotePrefix="1" applyNumberFormat="1" applyFont="1" applyFill="1" applyBorder="1" applyAlignment="1">
      <alignment horizontal="center" vertical="center"/>
    </xf>
    <xf numFmtId="14" fontId="4" fillId="4" borderId="13" xfId="0" quotePrefix="1" applyNumberFormat="1" applyFont="1" applyFill="1" applyBorder="1" applyAlignment="1">
      <alignment horizontal="center" vertical="center"/>
    </xf>
    <xf numFmtId="14" fontId="4" fillId="4" borderId="7" xfId="0" quotePrefix="1" applyNumberFormat="1" applyFont="1" applyFill="1" applyBorder="1" applyAlignment="1">
      <alignment horizontal="center" vertical="center"/>
    </xf>
    <xf numFmtId="14" fontId="4" fillId="4" borderId="14" xfId="0" quotePrefix="1" applyNumberFormat="1" applyFont="1" applyFill="1" applyBorder="1" applyAlignment="1">
      <alignment horizontal="center" vertical="center"/>
    </xf>
    <xf numFmtId="14" fontId="4" fillId="4" borderId="12" xfId="0" quotePrefix="1" applyNumberFormat="1" applyFont="1" applyFill="1" applyBorder="1" applyAlignment="1">
      <alignment horizontal="center" vertical="center"/>
    </xf>
    <xf numFmtId="14" fontId="4" fillId="4" borderId="13" xfId="0" quotePrefix="1" applyNumberFormat="1" applyFont="1" applyFill="1" applyBorder="1" applyAlignment="1">
      <alignment horizontal="center" vertical="center"/>
    </xf>
    <xf numFmtId="14" fontId="4" fillId="4" borderId="5" xfId="0" quotePrefix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188" fontId="9" fillId="9" borderId="16" xfId="0" applyNumberFormat="1" applyFont="1" applyFill="1" applyBorder="1" applyAlignment="1">
      <alignment horizontal="center" vertical="center"/>
    </xf>
    <xf numFmtId="188" fontId="9" fillId="9" borderId="5" xfId="0" applyNumberFormat="1" applyFont="1" applyFill="1" applyBorder="1" applyAlignment="1">
      <alignment horizontal="center" vertical="center"/>
    </xf>
    <xf numFmtId="188" fontId="9" fillId="9" borderId="17" xfId="0" applyNumberFormat="1" applyFont="1" applyFill="1" applyBorder="1" applyAlignment="1">
      <alignment horizontal="center" vertical="center"/>
    </xf>
    <xf numFmtId="188" fontId="9" fillId="9" borderId="13" xfId="0" applyNumberFormat="1" applyFont="1" applyFill="1" applyBorder="1" applyAlignment="1">
      <alignment horizontal="center" vertical="center"/>
    </xf>
    <xf numFmtId="1" fontId="8" fillId="10" borderId="13" xfId="0" applyNumberFormat="1" applyFont="1" applyFill="1" applyBorder="1" applyAlignment="1">
      <alignment horizontal="center" vertical="center"/>
    </xf>
    <xf numFmtId="1" fontId="8" fillId="10" borderId="5" xfId="0" applyNumberFormat="1" applyFont="1" applyFill="1" applyBorder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center"/>
    </xf>
    <xf numFmtId="1" fontId="8" fillId="11" borderId="5" xfId="0" applyNumberFormat="1" applyFont="1" applyFill="1" applyBorder="1" applyAlignment="1">
      <alignment horizontal="center" vertical="center"/>
    </xf>
    <xf numFmtId="1" fontId="8" fillId="12" borderId="5" xfId="0" applyNumberFormat="1" applyFont="1" applyFill="1" applyBorder="1" applyAlignment="1">
      <alignment horizontal="center" vertical="center"/>
    </xf>
    <xf numFmtId="1" fontId="8" fillId="13" borderId="5" xfId="0" applyNumberFormat="1" applyFont="1" applyFill="1" applyBorder="1" applyAlignment="1">
      <alignment horizontal="center" vertical="center"/>
    </xf>
    <xf numFmtId="188" fontId="8" fillId="14" borderId="5" xfId="0" applyNumberFormat="1" applyFont="1" applyFill="1" applyBorder="1" applyAlignment="1">
      <alignment horizontal="center" vertical="center"/>
    </xf>
    <xf numFmtId="188" fontId="10" fillId="15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8" borderId="5" xfId="0" applyFont="1" applyFill="1" applyBorder="1" applyAlignment="1">
      <alignment horizontal="left"/>
    </xf>
    <xf numFmtId="2" fontId="6" fillId="7" borderId="7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7" fillId="16" borderId="5" xfId="0" applyFont="1" applyFill="1" applyBorder="1" applyAlignment="1">
      <alignment horizontal="left"/>
    </xf>
    <xf numFmtId="0" fontId="8" fillId="16" borderId="7" xfId="0" applyFont="1" applyFill="1" applyBorder="1" applyAlignment="1">
      <alignment horizontal="left"/>
    </xf>
    <xf numFmtId="1" fontId="6" fillId="7" borderId="4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/>
    </xf>
    <xf numFmtId="189" fontId="6" fillId="7" borderId="5" xfId="0" applyNumberFormat="1" applyFont="1" applyFill="1" applyBorder="1" applyAlignment="1">
      <alignment horizontal="center" vertical="center"/>
    </xf>
    <xf numFmtId="189" fontId="6" fillId="7" borderId="7" xfId="0" applyNumberFormat="1" applyFont="1" applyFill="1" applyBorder="1" applyAlignment="1">
      <alignment horizontal="center" vertical="center"/>
    </xf>
    <xf numFmtId="189" fontId="11" fillId="7" borderId="5" xfId="0" applyNumberFormat="1" applyFont="1" applyFill="1" applyBorder="1" applyAlignment="1">
      <alignment horizontal="center" vertical="center"/>
    </xf>
    <xf numFmtId="189" fontId="11" fillId="7" borderId="7" xfId="0" applyNumberFormat="1" applyFont="1" applyFill="1" applyBorder="1" applyAlignment="1">
      <alignment horizontal="center" vertical="center"/>
    </xf>
    <xf numFmtId="2" fontId="11" fillId="7" borderId="5" xfId="0" applyNumberFormat="1" applyFont="1" applyFill="1" applyBorder="1" applyAlignment="1">
      <alignment horizontal="center" vertical="center"/>
    </xf>
    <xf numFmtId="1" fontId="11" fillId="7" borderId="5" xfId="0" applyNumberFormat="1" applyFont="1" applyFill="1" applyBorder="1" applyAlignment="1">
      <alignment horizontal="center" vertical="center"/>
    </xf>
    <xf numFmtId="1" fontId="11" fillId="7" borderId="7" xfId="0" applyNumberFormat="1" applyFont="1" applyFill="1" applyBorder="1" applyAlignment="1">
      <alignment horizontal="center" vertical="center"/>
    </xf>
    <xf numFmtId="2" fontId="11" fillId="7" borderId="7" xfId="0" applyNumberFormat="1" applyFont="1" applyFill="1" applyBorder="1" applyAlignment="1">
      <alignment horizontal="center" vertical="center"/>
    </xf>
    <xf numFmtId="188" fontId="9" fillId="9" borderId="18" xfId="0" applyNumberFormat="1" applyFont="1" applyFill="1" applyBorder="1" applyAlignment="1">
      <alignment horizontal="center" vertical="center"/>
    </xf>
    <xf numFmtId="188" fontId="9" fillId="9" borderId="19" xfId="0" applyNumberFormat="1" applyFont="1" applyFill="1" applyBorder="1" applyAlignment="1">
      <alignment horizontal="center" vertical="center"/>
    </xf>
    <xf numFmtId="188" fontId="9" fillId="9" borderId="20" xfId="0" applyNumberFormat="1" applyFont="1" applyFill="1" applyBorder="1" applyAlignment="1">
      <alignment horizontal="center" vertical="center"/>
    </xf>
    <xf numFmtId="188" fontId="9" fillId="9" borderId="2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ปกติ" xfId="0" builtinId="0"/>
  </cellStyles>
  <dxfs count="1"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4E3A-B4A2-423B-922A-5DD91653BAD9}">
  <dimension ref="A1:EC32"/>
  <sheetViews>
    <sheetView tabSelected="1" workbookViewId="0">
      <selection activeCell="B10" sqref="B10"/>
    </sheetView>
  </sheetViews>
  <sheetFormatPr defaultColWidth="6.5" defaultRowHeight="25.5" x14ac:dyDescent="0.2"/>
  <cols>
    <col min="1" max="1" width="8" style="2" bestFit="1" customWidth="1"/>
    <col min="2" max="4" width="9.875" style="2" bestFit="1" customWidth="1"/>
    <col min="5" max="5" width="8" style="2" bestFit="1" customWidth="1"/>
    <col min="6" max="6" width="33.25" style="3" customWidth="1"/>
    <col min="7" max="7" width="70.125" style="3" customWidth="1"/>
    <col min="8" max="52" width="7.875" style="2" hidden="1" customWidth="1"/>
    <col min="53" max="133" width="7.875" style="2" customWidth="1"/>
    <col min="134" max="16384" width="6.5" style="2"/>
  </cols>
  <sheetData>
    <row r="1" spans="1:133" x14ac:dyDescent="0.2">
      <c r="A1" s="1" t="s">
        <v>0</v>
      </c>
    </row>
    <row r="3" spans="1:133" ht="26.25" thickBot="1" x14ac:dyDescent="0.25">
      <c r="A3" s="4" t="s">
        <v>1</v>
      </c>
      <c r="B3" s="5"/>
      <c r="C3" s="5"/>
      <c r="D3" s="5"/>
      <c r="E3" s="6"/>
      <c r="F3" s="7" t="s">
        <v>2</v>
      </c>
      <c r="G3" s="8" t="s">
        <v>3</v>
      </c>
      <c r="H3" s="4" t="s">
        <v>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6"/>
      <c r="DI3" s="9" t="s">
        <v>5</v>
      </c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</row>
    <row r="4" spans="1:133" x14ac:dyDescent="0.2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10"/>
      <c r="G4" s="11"/>
      <c r="H4" s="12">
        <v>46034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W4" s="13">
        <f>H4+1</f>
        <v>46035</v>
      </c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4"/>
      <c r="AL4" s="12">
        <f>+H4+2</f>
        <v>46036</v>
      </c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4"/>
      <c r="BA4" s="12">
        <f>+H4+3</f>
        <v>46037</v>
      </c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4"/>
      <c r="BP4" s="13">
        <f>+H4+4</f>
        <v>46038</v>
      </c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2">
        <f t="shared" ref="CE4" si="0">+W4+4</f>
        <v>46039</v>
      </c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2">
        <f t="shared" ref="CT4" si="1">+AL4+4</f>
        <v>46040</v>
      </c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4"/>
      <c r="DI4" s="15">
        <f>+H4</f>
        <v>46034</v>
      </c>
      <c r="DJ4" s="16"/>
      <c r="DK4" s="17"/>
      <c r="DL4" s="18">
        <f>+W4</f>
        <v>46035</v>
      </c>
      <c r="DM4" s="16"/>
      <c r="DN4" s="17"/>
      <c r="DO4" s="18">
        <f>+AL4</f>
        <v>46036</v>
      </c>
      <c r="DP4" s="16"/>
      <c r="DQ4" s="17"/>
      <c r="DR4" s="18">
        <f>+BA4</f>
        <v>46037</v>
      </c>
      <c r="DS4" s="16"/>
      <c r="DT4" s="17"/>
      <c r="DU4" s="18">
        <f>+BP4</f>
        <v>46038</v>
      </c>
      <c r="DV4" s="16"/>
      <c r="DW4" s="17"/>
      <c r="DX4" s="18">
        <f>+CE4</f>
        <v>46039</v>
      </c>
      <c r="DY4" s="16"/>
      <c r="DZ4" s="17"/>
      <c r="EA4" s="19">
        <f>+CT4</f>
        <v>46040</v>
      </c>
      <c r="EB4" s="19"/>
      <c r="EC4" s="19"/>
    </row>
    <row r="5" spans="1:133" x14ac:dyDescent="0.2">
      <c r="A5" s="10"/>
      <c r="B5" s="10"/>
      <c r="C5" s="10"/>
      <c r="D5" s="10"/>
      <c r="E5" s="10"/>
      <c r="F5" s="10"/>
      <c r="G5" s="11"/>
      <c r="H5" s="20" t="s">
        <v>11</v>
      </c>
      <c r="I5" s="21"/>
      <c r="J5" s="21"/>
      <c r="K5" s="21"/>
      <c r="L5" s="22"/>
      <c r="M5" s="23" t="s">
        <v>12</v>
      </c>
      <c r="N5" s="21"/>
      <c r="O5" s="21"/>
      <c r="P5" s="21"/>
      <c r="Q5" s="22"/>
      <c r="R5" s="23" t="s">
        <v>13</v>
      </c>
      <c r="S5" s="21"/>
      <c r="T5" s="21"/>
      <c r="U5" s="21"/>
      <c r="V5" s="24"/>
      <c r="W5" s="21" t="s">
        <v>11</v>
      </c>
      <c r="X5" s="21"/>
      <c r="Y5" s="21"/>
      <c r="Z5" s="21"/>
      <c r="AA5" s="22"/>
      <c r="AB5" s="23" t="s">
        <v>12</v>
      </c>
      <c r="AC5" s="21"/>
      <c r="AD5" s="21"/>
      <c r="AE5" s="21"/>
      <c r="AF5" s="22"/>
      <c r="AG5" s="23" t="s">
        <v>13</v>
      </c>
      <c r="AH5" s="21"/>
      <c r="AI5" s="21"/>
      <c r="AJ5" s="21"/>
      <c r="AK5" s="24"/>
      <c r="AL5" s="20" t="s">
        <v>11</v>
      </c>
      <c r="AM5" s="21"/>
      <c r="AN5" s="21"/>
      <c r="AO5" s="21"/>
      <c r="AP5" s="22"/>
      <c r="AQ5" s="23" t="s">
        <v>12</v>
      </c>
      <c r="AR5" s="21"/>
      <c r="AS5" s="21"/>
      <c r="AT5" s="21"/>
      <c r="AU5" s="21"/>
      <c r="AV5" s="23" t="s">
        <v>13</v>
      </c>
      <c r="AW5" s="21"/>
      <c r="AX5" s="21"/>
      <c r="AY5" s="21"/>
      <c r="AZ5" s="24"/>
      <c r="BA5" s="20" t="s">
        <v>11</v>
      </c>
      <c r="BB5" s="21"/>
      <c r="BC5" s="21"/>
      <c r="BD5" s="21"/>
      <c r="BE5" s="22"/>
      <c r="BF5" s="23" t="s">
        <v>12</v>
      </c>
      <c r="BG5" s="21"/>
      <c r="BH5" s="21"/>
      <c r="BI5" s="21"/>
      <c r="BJ5" s="21"/>
      <c r="BK5" s="23" t="s">
        <v>13</v>
      </c>
      <c r="BL5" s="21"/>
      <c r="BM5" s="21"/>
      <c r="BN5" s="21"/>
      <c r="BO5" s="24"/>
      <c r="BP5" s="21" t="s">
        <v>11</v>
      </c>
      <c r="BQ5" s="21"/>
      <c r="BR5" s="21"/>
      <c r="BS5" s="21"/>
      <c r="BT5" s="22"/>
      <c r="BU5" s="23" t="s">
        <v>12</v>
      </c>
      <c r="BV5" s="21"/>
      <c r="BW5" s="21"/>
      <c r="BX5" s="21"/>
      <c r="BY5" s="21"/>
      <c r="BZ5" s="23" t="s">
        <v>13</v>
      </c>
      <c r="CA5" s="21"/>
      <c r="CB5" s="21"/>
      <c r="CC5" s="21"/>
      <c r="CD5" s="24"/>
      <c r="CE5" s="20" t="s">
        <v>11</v>
      </c>
      <c r="CF5" s="21"/>
      <c r="CG5" s="21"/>
      <c r="CH5" s="21"/>
      <c r="CI5" s="22"/>
      <c r="CJ5" s="23" t="s">
        <v>12</v>
      </c>
      <c r="CK5" s="21"/>
      <c r="CL5" s="21"/>
      <c r="CM5" s="21"/>
      <c r="CN5" s="21"/>
      <c r="CO5" s="23" t="s">
        <v>13</v>
      </c>
      <c r="CP5" s="21"/>
      <c r="CQ5" s="21"/>
      <c r="CR5" s="21"/>
      <c r="CS5" s="24"/>
      <c r="CT5" s="20" t="s">
        <v>11</v>
      </c>
      <c r="CU5" s="21"/>
      <c r="CV5" s="21"/>
      <c r="CW5" s="21"/>
      <c r="CX5" s="25"/>
      <c r="CY5" s="23" t="s">
        <v>12</v>
      </c>
      <c r="CZ5" s="21"/>
      <c r="DA5" s="21"/>
      <c r="DB5" s="21"/>
      <c r="DC5" s="21"/>
      <c r="DD5" s="23" t="s">
        <v>13</v>
      </c>
      <c r="DE5" s="21"/>
      <c r="DF5" s="21"/>
      <c r="DG5" s="21"/>
      <c r="DH5" s="24"/>
      <c r="DI5" s="26" t="s">
        <v>11</v>
      </c>
      <c r="DJ5" s="27" t="s">
        <v>12</v>
      </c>
      <c r="DK5" s="27" t="s">
        <v>13</v>
      </c>
      <c r="DL5" s="27" t="s">
        <v>11</v>
      </c>
      <c r="DM5" s="27" t="s">
        <v>12</v>
      </c>
      <c r="DN5" s="27" t="s">
        <v>13</v>
      </c>
      <c r="DO5" s="27" t="s">
        <v>11</v>
      </c>
      <c r="DP5" s="27" t="s">
        <v>12</v>
      </c>
      <c r="DQ5" s="27" t="s">
        <v>13</v>
      </c>
      <c r="DR5" s="27" t="s">
        <v>11</v>
      </c>
      <c r="DS5" s="27" t="s">
        <v>12</v>
      </c>
      <c r="DT5" s="27" t="s">
        <v>13</v>
      </c>
      <c r="DU5" s="27" t="s">
        <v>11</v>
      </c>
      <c r="DV5" s="27" t="s">
        <v>12</v>
      </c>
      <c r="DW5" s="27" t="s">
        <v>13</v>
      </c>
      <c r="DX5" s="27" t="s">
        <v>11</v>
      </c>
      <c r="DY5" s="27" t="s">
        <v>12</v>
      </c>
      <c r="DZ5" s="27" t="s">
        <v>13</v>
      </c>
      <c r="EA5" s="27" t="s">
        <v>11</v>
      </c>
      <c r="EB5" s="27" t="s">
        <v>12</v>
      </c>
      <c r="EC5" s="27" t="s">
        <v>13</v>
      </c>
    </row>
    <row r="6" spans="1:133" x14ac:dyDescent="0.2">
      <c r="A6" s="28"/>
      <c r="B6" s="28"/>
      <c r="C6" s="28"/>
      <c r="D6" s="28"/>
      <c r="E6" s="28"/>
      <c r="F6" s="28"/>
      <c r="G6" s="11"/>
      <c r="H6" s="29"/>
      <c r="I6" s="30"/>
      <c r="J6" s="30">
        <f>14+14</f>
        <v>28</v>
      </c>
      <c r="K6" s="30"/>
      <c r="L6" s="30"/>
      <c r="M6" s="30"/>
      <c r="N6" s="30"/>
      <c r="O6" s="30">
        <v>13</v>
      </c>
      <c r="P6" s="30"/>
      <c r="Q6" s="30">
        <v>14</v>
      </c>
      <c r="R6" s="30"/>
      <c r="S6" s="30"/>
      <c r="T6" s="30"/>
      <c r="U6" s="30"/>
      <c r="V6" s="31"/>
      <c r="W6" s="32"/>
      <c r="X6" s="30"/>
      <c r="Y6" s="30">
        <f>14+14</f>
        <v>28</v>
      </c>
      <c r="Z6" s="30"/>
      <c r="AA6" s="30"/>
      <c r="AB6" s="30"/>
      <c r="AC6" s="30"/>
      <c r="AD6" s="30">
        <f>13+13</f>
        <v>26</v>
      </c>
      <c r="AE6" s="30"/>
      <c r="AF6" s="30"/>
      <c r="AG6" s="30"/>
      <c r="AH6" s="30"/>
      <c r="AI6" s="30"/>
      <c r="AJ6" s="30"/>
      <c r="AK6" s="31"/>
      <c r="AL6" s="29"/>
      <c r="AM6" s="30"/>
      <c r="AN6" s="30">
        <f>14+14</f>
        <v>28</v>
      </c>
      <c r="AO6" s="30"/>
      <c r="AP6" s="30"/>
      <c r="AQ6" s="30"/>
      <c r="AR6" s="30"/>
      <c r="AS6" s="30">
        <f>14+14</f>
        <v>28</v>
      </c>
      <c r="AT6" s="30"/>
      <c r="AU6" s="30"/>
      <c r="AV6" s="30"/>
      <c r="AW6" s="30"/>
      <c r="AX6" s="30"/>
      <c r="AY6" s="30"/>
      <c r="AZ6" s="31"/>
      <c r="BA6" s="29"/>
      <c r="BB6" s="30"/>
      <c r="BC6" s="30">
        <f>14+14</f>
        <v>28</v>
      </c>
      <c r="BD6" s="30"/>
      <c r="BE6" s="30"/>
      <c r="BF6" s="30"/>
      <c r="BG6" s="30"/>
      <c r="BH6" s="30">
        <f>13+14</f>
        <v>27</v>
      </c>
      <c r="BI6" s="30"/>
      <c r="BJ6" s="30"/>
      <c r="BK6" s="30"/>
      <c r="BL6" s="30"/>
      <c r="BM6" s="30"/>
      <c r="BN6" s="30"/>
      <c r="BO6" s="31"/>
      <c r="BP6" s="32"/>
      <c r="BQ6" s="30">
        <f>14+14</f>
        <v>28</v>
      </c>
      <c r="BR6" s="30"/>
      <c r="BS6" s="30"/>
      <c r="BT6" s="30"/>
      <c r="BU6" s="30"/>
      <c r="BV6" s="30">
        <v>14</v>
      </c>
      <c r="BW6" s="30">
        <v>14</v>
      </c>
      <c r="BX6" s="30"/>
      <c r="BY6" s="30"/>
      <c r="BZ6" s="30"/>
      <c r="CA6" s="30"/>
      <c r="CB6" s="30"/>
      <c r="CC6" s="30"/>
      <c r="CD6" s="31"/>
      <c r="CE6" s="29"/>
      <c r="CF6" s="30">
        <v>14</v>
      </c>
      <c r="CG6" s="30">
        <v>14</v>
      </c>
      <c r="CH6" s="30"/>
      <c r="CI6" s="30"/>
      <c r="CJ6" s="30"/>
      <c r="CK6" s="30">
        <v>13</v>
      </c>
      <c r="CL6" s="30">
        <v>13</v>
      </c>
      <c r="CM6" s="30"/>
      <c r="CN6" s="30"/>
      <c r="CO6" s="30"/>
      <c r="CP6" s="30"/>
      <c r="CQ6" s="30"/>
      <c r="CR6" s="30"/>
      <c r="CS6" s="31"/>
      <c r="CT6" s="29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1"/>
      <c r="DI6" s="32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</row>
    <row r="7" spans="1:133" ht="51" x14ac:dyDescent="0.2">
      <c r="A7" s="33"/>
      <c r="B7" s="33"/>
      <c r="C7" s="33"/>
      <c r="D7" s="33"/>
      <c r="E7" s="33"/>
      <c r="F7" s="33"/>
      <c r="G7" s="33"/>
      <c r="H7" s="34" t="s">
        <v>6</v>
      </c>
      <c r="I7" s="35" t="s">
        <v>14</v>
      </c>
      <c r="J7" s="36" t="s">
        <v>15</v>
      </c>
      <c r="K7" s="36" t="s">
        <v>16</v>
      </c>
      <c r="L7" s="36" t="s">
        <v>17</v>
      </c>
      <c r="M7" s="36" t="s">
        <v>6</v>
      </c>
      <c r="N7" s="35" t="s">
        <v>14</v>
      </c>
      <c r="O7" s="36" t="s">
        <v>15</v>
      </c>
      <c r="P7" s="36" t="s">
        <v>16</v>
      </c>
      <c r="Q7" s="36" t="s">
        <v>17</v>
      </c>
      <c r="R7" s="36" t="s">
        <v>6</v>
      </c>
      <c r="S7" s="35" t="s">
        <v>14</v>
      </c>
      <c r="T7" s="36" t="s">
        <v>15</v>
      </c>
      <c r="U7" s="36" t="s">
        <v>16</v>
      </c>
      <c r="V7" s="37" t="s">
        <v>17</v>
      </c>
      <c r="W7" s="38" t="s">
        <v>6</v>
      </c>
      <c r="X7" s="35" t="s">
        <v>14</v>
      </c>
      <c r="Y7" s="36" t="s">
        <v>15</v>
      </c>
      <c r="Z7" s="36" t="s">
        <v>16</v>
      </c>
      <c r="AA7" s="36" t="s">
        <v>17</v>
      </c>
      <c r="AB7" s="36" t="s">
        <v>6</v>
      </c>
      <c r="AC7" s="35" t="s">
        <v>14</v>
      </c>
      <c r="AD7" s="36" t="s">
        <v>15</v>
      </c>
      <c r="AE7" s="36" t="s">
        <v>16</v>
      </c>
      <c r="AF7" s="36" t="s">
        <v>17</v>
      </c>
      <c r="AG7" s="36" t="s">
        <v>6</v>
      </c>
      <c r="AH7" s="35" t="s">
        <v>14</v>
      </c>
      <c r="AI7" s="36" t="s">
        <v>15</v>
      </c>
      <c r="AJ7" s="36" t="s">
        <v>16</v>
      </c>
      <c r="AK7" s="37" t="s">
        <v>17</v>
      </c>
      <c r="AL7" s="34" t="s">
        <v>6</v>
      </c>
      <c r="AM7" s="35" t="s">
        <v>14</v>
      </c>
      <c r="AN7" s="36" t="s">
        <v>15</v>
      </c>
      <c r="AO7" s="36" t="s">
        <v>16</v>
      </c>
      <c r="AP7" s="36" t="s">
        <v>17</v>
      </c>
      <c r="AQ7" s="36" t="s">
        <v>6</v>
      </c>
      <c r="AR7" s="35" t="s">
        <v>14</v>
      </c>
      <c r="AS7" s="36" t="s">
        <v>15</v>
      </c>
      <c r="AT7" s="36" t="s">
        <v>16</v>
      </c>
      <c r="AU7" s="36" t="s">
        <v>17</v>
      </c>
      <c r="AV7" s="36" t="s">
        <v>6</v>
      </c>
      <c r="AW7" s="35" t="s">
        <v>14</v>
      </c>
      <c r="AX7" s="36" t="s">
        <v>15</v>
      </c>
      <c r="AY7" s="36" t="s">
        <v>16</v>
      </c>
      <c r="AZ7" s="37" t="s">
        <v>17</v>
      </c>
      <c r="BA7" s="34" t="s">
        <v>6</v>
      </c>
      <c r="BB7" s="35" t="s">
        <v>14</v>
      </c>
      <c r="BC7" s="36" t="s">
        <v>15</v>
      </c>
      <c r="BD7" s="36" t="s">
        <v>16</v>
      </c>
      <c r="BE7" s="36" t="s">
        <v>17</v>
      </c>
      <c r="BF7" s="36" t="s">
        <v>6</v>
      </c>
      <c r="BG7" s="35" t="s">
        <v>14</v>
      </c>
      <c r="BH7" s="36" t="s">
        <v>15</v>
      </c>
      <c r="BI7" s="36" t="s">
        <v>16</v>
      </c>
      <c r="BJ7" s="36" t="s">
        <v>17</v>
      </c>
      <c r="BK7" s="36" t="s">
        <v>6</v>
      </c>
      <c r="BL7" s="35" t="s">
        <v>14</v>
      </c>
      <c r="BM7" s="36" t="s">
        <v>15</v>
      </c>
      <c r="BN7" s="36" t="s">
        <v>16</v>
      </c>
      <c r="BO7" s="37" t="s">
        <v>17</v>
      </c>
      <c r="BP7" s="38" t="s">
        <v>6</v>
      </c>
      <c r="BQ7" s="35" t="s">
        <v>14</v>
      </c>
      <c r="BR7" s="36" t="s">
        <v>15</v>
      </c>
      <c r="BS7" s="36" t="s">
        <v>16</v>
      </c>
      <c r="BT7" s="36" t="s">
        <v>17</v>
      </c>
      <c r="BU7" s="36" t="s">
        <v>6</v>
      </c>
      <c r="BV7" s="35" t="s">
        <v>14</v>
      </c>
      <c r="BW7" s="36" t="s">
        <v>15</v>
      </c>
      <c r="BX7" s="36" t="s">
        <v>16</v>
      </c>
      <c r="BY7" s="36" t="s">
        <v>17</v>
      </c>
      <c r="BZ7" s="36" t="s">
        <v>6</v>
      </c>
      <c r="CA7" s="35" t="s">
        <v>14</v>
      </c>
      <c r="CB7" s="36" t="s">
        <v>15</v>
      </c>
      <c r="CC7" s="36" t="s">
        <v>16</v>
      </c>
      <c r="CD7" s="37" t="s">
        <v>17</v>
      </c>
      <c r="CE7" s="34" t="s">
        <v>6</v>
      </c>
      <c r="CF7" s="35" t="s">
        <v>14</v>
      </c>
      <c r="CG7" s="36" t="s">
        <v>15</v>
      </c>
      <c r="CH7" s="36" t="s">
        <v>16</v>
      </c>
      <c r="CI7" s="36" t="s">
        <v>17</v>
      </c>
      <c r="CJ7" s="36" t="s">
        <v>6</v>
      </c>
      <c r="CK7" s="35" t="s">
        <v>14</v>
      </c>
      <c r="CL7" s="36" t="s">
        <v>15</v>
      </c>
      <c r="CM7" s="36" t="s">
        <v>16</v>
      </c>
      <c r="CN7" s="36" t="s">
        <v>17</v>
      </c>
      <c r="CO7" s="36" t="s">
        <v>6</v>
      </c>
      <c r="CP7" s="35" t="s">
        <v>14</v>
      </c>
      <c r="CQ7" s="36" t="s">
        <v>15</v>
      </c>
      <c r="CR7" s="36" t="s">
        <v>16</v>
      </c>
      <c r="CS7" s="37" t="s">
        <v>17</v>
      </c>
      <c r="CT7" s="34" t="s">
        <v>6</v>
      </c>
      <c r="CU7" s="35" t="s">
        <v>14</v>
      </c>
      <c r="CV7" s="36" t="s">
        <v>15</v>
      </c>
      <c r="CW7" s="36" t="s">
        <v>16</v>
      </c>
      <c r="CX7" s="36" t="s">
        <v>18</v>
      </c>
      <c r="CY7" s="36" t="s">
        <v>6</v>
      </c>
      <c r="CZ7" s="35" t="s">
        <v>14</v>
      </c>
      <c r="DA7" s="36" t="s">
        <v>15</v>
      </c>
      <c r="DB7" s="36" t="s">
        <v>16</v>
      </c>
      <c r="DC7" s="36" t="s">
        <v>17</v>
      </c>
      <c r="DD7" s="36" t="s">
        <v>6</v>
      </c>
      <c r="DE7" s="35" t="s">
        <v>14</v>
      </c>
      <c r="DF7" s="36" t="s">
        <v>15</v>
      </c>
      <c r="DG7" s="36" t="s">
        <v>16</v>
      </c>
      <c r="DH7" s="37" t="s">
        <v>17</v>
      </c>
      <c r="DI7" s="38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9"/>
      <c r="EB7" s="39"/>
      <c r="EC7" s="39"/>
    </row>
    <row r="8" spans="1:133" s="57" customFormat="1" ht="19.5" x14ac:dyDescent="0.25">
      <c r="A8" s="40"/>
      <c r="B8" s="40">
        <v>55</v>
      </c>
      <c r="C8" s="41"/>
      <c r="D8" s="42"/>
      <c r="E8" s="42"/>
      <c r="F8" s="43" t="s">
        <v>19</v>
      </c>
      <c r="G8" s="44" t="s">
        <v>20</v>
      </c>
      <c r="H8" s="45">
        <f t="shared" ref="H8:H31" si="2">A8*$H$6</f>
        <v>0</v>
      </c>
      <c r="I8" s="46">
        <f t="shared" ref="I8:I31" si="3">B8*$I$6</f>
        <v>0</v>
      </c>
      <c r="J8" s="46">
        <f>C8*$J$6</f>
        <v>0</v>
      </c>
      <c r="K8" s="46">
        <f>D8*$K$6</f>
        <v>0</v>
      </c>
      <c r="L8" s="46">
        <f>E8*$L$6</f>
        <v>0</v>
      </c>
      <c r="M8" s="46">
        <f t="shared" ref="M8:M31" si="4">A8*$M$6</f>
        <v>0</v>
      </c>
      <c r="N8" s="46">
        <f>B8*$N$6</f>
        <v>0</v>
      </c>
      <c r="O8" s="46">
        <f t="shared" ref="O8:O31" si="5">C8*$O$6</f>
        <v>0</v>
      </c>
      <c r="P8" s="46">
        <f t="shared" ref="P8:P31" si="6">D8*$P$6</f>
        <v>0</v>
      </c>
      <c r="Q8" s="46">
        <f>E8*$Q$6</f>
        <v>0</v>
      </c>
      <c r="R8" s="46">
        <f>A8*$R$6</f>
        <v>0</v>
      </c>
      <c r="S8" s="46">
        <f>B8*$S$6</f>
        <v>0</v>
      </c>
      <c r="T8" s="46">
        <f>C8*$T$6</f>
        <v>0</v>
      </c>
      <c r="U8" s="46">
        <f>D8*$U$6</f>
        <v>0</v>
      </c>
      <c r="V8" s="47">
        <f>E8*$V$6</f>
        <v>0</v>
      </c>
      <c r="W8" s="48">
        <f>A8*$W$6</f>
        <v>0</v>
      </c>
      <c r="X8" s="46">
        <f>B8*$X$6</f>
        <v>0</v>
      </c>
      <c r="Y8" s="46">
        <f>C8*$Y$6</f>
        <v>0</v>
      </c>
      <c r="Z8" s="46">
        <f>D8*$Z$6</f>
        <v>0</v>
      </c>
      <c r="AA8" s="46">
        <f>E8*$AA$6</f>
        <v>0</v>
      </c>
      <c r="AB8" s="46">
        <f>A8*$AB$6</f>
        <v>0</v>
      </c>
      <c r="AC8" s="46">
        <f>B8*$AC$6</f>
        <v>0</v>
      </c>
      <c r="AD8" s="46">
        <f>C8*$AD$6</f>
        <v>0</v>
      </c>
      <c r="AE8" s="46">
        <f>D8*$AE$6</f>
        <v>0</v>
      </c>
      <c r="AF8" s="46">
        <f>E8*$AF$6</f>
        <v>0</v>
      </c>
      <c r="AG8" s="46">
        <f>A8*$AG$6</f>
        <v>0</v>
      </c>
      <c r="AH8" s="46">
        <f>B8*$AH$6</f>
        <v>0</v>
      </c>
      <c r="AI8" s="46">
        <f>C8*$AI$6</f>
        <v>0</v>
      </c>
      <c r="AJ8" s="46">
        <f>D8*$AJ$6</f>
        <v>0</v>
      </c>
      <c r="AK8" s="46">
        <f>E8*$AK$6</f>
        <v>0</v>
      </c>
      <c r="AL8" s="45">
        <f>A8*$AL$6</f>
        <v>0</v>
      </c>
      <c r="AM8" s="46">
        <f>B8*$AM$6</f>
        <v>0</v>
      </c>
      <c r="AN8" s="46">
        <f>C8*$AN$6</f>
        <v>0</v>
      </c>
      <c r="AO8" s="46">
        <f>D8*$AO$6</f>
        <v>0</v>
      </c>
      <c r="AP8" s="46">
        <f>E8*$AP$6</f>
        <v>0</v>
      </c>
      <c r="AQ8" s="46">
        <f>A8*$AQ$6</f>
        <v>0</v>
      </c>
      <c r="AR8" s="46">
        <f>B8*$AR$6</f>
        <v>0</v>
      </c>
      <c r="AS8" s="46">
        <f>C8*$AS$6</f>
        <v>0</v>
      </c>
      <c r="AT8" s="46">
        <f>D8*$AT$6</f>
        <v>0</v>
      </c>
      <c r="AU8" s="46">
        <f>E8*$AU$6</f>
        <v>0</v>
      </c>
      <c r="AV8" s="46">
        <f>A8*$AV$6</f>
        <v>0</v>
      </c>
      <c r="AW8" s="46">
        <f>B8*$AW$6</f>
        <v>0</v>
      </c>
      <c r="AX8" s="46">
        <f>C8*$AX$6</f>
        <v>0</v>
      </c>
      <c r="AY8" s="46">
        <f>D8*$AY$6</f>
        <v>0</v>
      </c>
      <c r="AZ8" s="47">
        <f>E8*$AZ$6</f>
        <v>0</v>
      </c>
      <c r="BA8" s="45">
        <f>A8*$BA$6</f>
        <v>0</v>
      </c>
      <c r="BB8" s="46">
        <f>B8*$BB$6</f>
        <v>0</v>
      </c>
      <c r="BC8" s="46">
        <f>C8*$BC$6</f>
        <v>0</v>
      </c>
      <c r="BD8" s="46">
        <f>D8*$BD$6</f>
        <v>0</v>
      </c>
      <c r="BE8" s="46">
        <f>E8*$BE$6</f>
        <v>0</v>
      </c>
      <c r="BF8" s="46">
        <f>A8*$BF$6</f>
        <v>0</v>
      </c>
      <c r="BG8" s="46">
        <f>B8*$BG$6</f>
        <v>0</v>
      </c>
      <c r="BH8" s="46">
        <f>C8*$BH$6</f>
        <v>0</v>
      </c>
      <c r="BI8" s="46">
        <f>D8*$BI$6</f>
        <v>0</v>
      </c>
      <c r="BJ8" s="46">
        <f>E8*$BJ$6</f>
        <v>0</v>
      </c>
      <c r="BK8" s="46">
        <f>A8*$BK$6</f>
        <v>0</v>
      </c>
      <c r="BL8" s="46">
        <f>B8*$BL$6</f>
        <v>0</v>
      </c>
      <c r="BM8" s="46">
        <f>C8*$BM$6</f>
        <v>0</v>
      </c>
      <c r="BN8" s="46">
        <f>D8*$BN$6</f>
        <v>0</v>
      </c>
      <c r="BO8" s="47">
        <f>E8*$BO$6</f>
        <v>0</v>
      </c>
      <c r="BP8" s="48">
        <f>A8*$BP$6</f>
        <v>0</v>
      </c>
      <c r="BQ8" s="46">
        <f>B8*$BQ$6</f>
        <v>1540</v>
      </c>
      <c r="BR8" s="46">
        <f>C8*$BR$6</f>
        <v>0</v>
      </c>
      <c r="BS8" s="46">
        <f>D8*$BS$6</f>
        <v>0</v>
      </c>
      <c r="BT8" s="46">
        <f>E8*$BT$6</f>
        <v>0</v>
      </c>
      <c r="BU8" s="46">
        <f>A8*$BU$6</f>
        <v>0</v>
      </c>
      <c r="BV8" s="46">
        <f>B8*$BV$6</f>
        <v>770</v>
      </c>
      <c r="BW8" s="46">
        <f>C8*$BW$6</f>
        <v>0</v>
      </c>
      <c r="BX8" s="46">
        <f>D8*$BX$6</f>
        <v>0</v>
      </c>
      <c r="BY8" s="46">
        <f>E8*$BY$6</f>
        <v>0</v>
      </c>
      <c r="BZ8" s="46">
        <f>A8*$BZ$6</f>
        <v>0</v>
      </c>
      <c r="CA8" s="46">
        <f>B8*$CA$6</f>
        <v>0</v>
      </c>
      <c r="CB8" s="46">
        <f>C8*$CB$6</f>
        <v>0</v>
      </c>
      <c r="CC8" s="46">
        <f>D8*$CC$6</f>
        <v>0</v>
      </c>
      <c r="CD8" s="46">
        <f>E8*$CD$6</f>
        <v>0</v>
      </c>
      <c r="CE8" s="45">
        <f>A8*$CE$6</f>
        <v>0</v>
      </c>
      <c r="CF8" s="46">
        <f>B8*$CF$6</f>
        <v>770</v>
      </c>
      <c r="CG8" s="46">
        <f>C8*$CG$6</f>
        <v>0</v>
      </c>
      <c r="CH8" s="46">
        <f>D8*$CH$6</f>
        <v>0</v>
      </c>
      <c r="CI8" s="46">
        <f>E8*$CI$6</f>
        <v>0</v>
      </c>
      <c r="CJ8" s="46">
        <f>A8*$CJ$6</f>
        <v>0</v>
      </c>
      <c r="CK8" s="46">
        <f>B8*$CK$6</f>
        <v>715</v>
      </c>
      <c r="CL8" s="46">
        <f>C8*$CL$6</f>
        <v>0</v>
      </c>
      <c r="CM8" s="46">
        <f>D8*$CM$6</f>
        <v>0</v>
      </c>
      <c r="CN8" s="46">
        <f>E8*$CN$6</f>
        <v>0</v>
      </c>
      <c r="CO8" s="46">
        <f>A8*$CO$6</f>
        <v>0</v>
      </c>
      <c r="CP8" s="46">
        <f>B8*$CP$6</f>
        <v>0</v>
      </c>
      <c r="CQ8" s="46">
        <f>C8*$CQ$6</f>
        <v>0</v>
      </c>
      <c r="CR8" s="46">
        <f>D8*$CR$6</f>
        <v>0</v>
      </c>
      <c r="CS8" s="46">
        <f>E8*$CS$6</f>
        <v>0</v>
      </c>
      <c r="CT8" s="45">
        <f>A8*$CT$6</f>
        <v>0</v>
      </c>
      <c r="CU8" s="46">
        <f>B8*$CU$6</f>
        <v>0</v>
      </c>
      <c r="CV8" s="46">
        <f>C8*$CV$6</f>
        <v>0</v>
      </c>
      <c r="CW8" s="46">
        <f>D8*$CW$6</f>
        <v>0</v>
      </c>
      <c r="CX8" s="46">
        <f>E8*$CX$6</f>
        <v>0</v>
      </c>
      <c r="CY8" s="46">
        <f>A8*$CY$6</f>
        <v>0</v>
      </c>
      <c r="CZ8" s="46">
        <f>B8*$CZ$6</f>
        <v>0</v>
      </c>
      <c r="DA8" s="46">
        <f>C8*$DA$6</f>
        <v>0</v>
      </c>
      <c r="DB8" s="46">
        <f>D8*$DB$6</f>
        <v>0</v>
      </c>
      <c r="DC8" s="46">
        <f>E8*$DC$6</f>
        <v>0</v>
      </c>
      <c r="DD8" s="46">
        <f>A8*$DD$6</f>
        <v>0</v>
      </c>
      <c r="DE8" s="46">
        <f>B8*$DE$6</f>
        <v>0</v>
      </c>
      <c r="DF8" s="46">
        <f>C8*$DF$6</f>
        <v>0</v>
      </c>
      <c r="DG8" s="46">
        <f>D8*$DG$6</f>
        <v>0</v>
      </c>
      <c r="DH8" s="47">
        <f>E8*$DH$6</f>
        <v>0</v>
      </c>
      <c r="DI8" s="49">
        <f>ROUNDUP((H8+I8+J8+K8+L8),0)</f>
        <v>0</v>
      </c>
      <c r="DJ8" s="50">
        <f>ROUNDUP((M8+N8+O8+P8+Q8),0)</f>
        <v>0</v>
      </c>
      <c r="DK8" s="50">
        <f>ROUNDUP((T8+S8+R8+U8+V8),0)</f>
        <v>0</v>
      </c>
      <c r="DL8" s="51">
        <f>ROUNDUP((W8+X8+Y8+Z8+AA8),0)</f>
        <v>0</v>
      </c>
      <c r="DM8" s="51">
        <f>ROUNDUP((AB8+AC8+AD8+AE8+AF8),0)</f>
        <v>0</v>
      </c>
      <c r="DN8" s="51">
        <f>ROUNDUP((AK8+AJ8+AH8+AI8+AG8),0)</f>
        <v>0</v>
      </c>
      <c r="DO8" s="52">
        <f>ROUNDUP((AL8+AM8+AN8+AO8+AP8),0)</f>
        <v>0</v>
      </c>
      <c r="DP8" s="52">
        <f>ROUNDUP((AQ8+AR8+AS8+AT8+AU8),0)</f>
        <v>0</v>
      </c>
      <c r="DQ8" s="52">
        <f>ROUNDUP((AZ8+AY8+AW8+AX8+AV8),0)</f>
        <v>0</v>
      </c>
      <c r="DR8" s="53">
        <f>ROUNDUP((BA8+BB8+BC8+BD8+BE8),0)</f>
        <v>0</v>
      </c>
      <c r="DS8" s="53">
        <f>ROUNDUP((BF8+BG8+BH8+BI8+BJ8),0)</f>
        <v>0</v>
      </c>
      <c r="DT8" s="53">
        <f>ROUNDUP((BM8+BL8+BN8+BO8+BK8),0)</f>
        <v>0</v>
      </c>
      <c r="DU8" s="54">
        <f>ROUNDUP((BP8+BQ8+BR8+BS8+BT8),0)</f>
        <v>1540</v>
      </c>
      <c r="DV8" s="54">
        <f>ROUNDUP((BW8+BU8+BV8+BX8+BY8),0)</f>
        <v>770</v>
      </c>
      <c r="DW8" s="54">
        <f>ROUNDUP((CA8+CD8+CC8+CB8+BZ8),0)</f>
        <v>0</v>
      </c>
      <c r="DX8" s="55">
        <f>ROUNDUP((CG8+CE8+CF8+CH8+CI8),0)</f>
        <v>770</v>
      </c>
      <c r="DY8" s="55">
        <f>ROUNDUP((CK8+CJ8+CL8+CM8+CN8),0)</f>
        <v>715</v>
      </c>
      <c r="DZ8" s="55">
        <f>ROUNDUP((CS8+CQ8+CR8+CP8+CO8),0)</f>
        <v>0</v>
      </c>
      <c r="EA8" s="56">
        <f>ROUNDUP((CV8+CT8+CU8+CW8+CX8),0)</f>
        <v>0</v>
      </c>
      <c r="EB8" s="56">
        <f>ROUNDUP((DA8+CY8+CZ8+DB8+DC8),0)</f>
        <v>0</v>
      </c>
      <c r="EC8" s="56">
        <f>ROUNDUP((DD8+DF8+DH8+DE8+DG8),0)</f>
        <v>0</v>
      </c>
    </row>
    <row r="9" spans="1:133" s="57" customFormat="1" ht="19.5" x14ac:dyDescent="0.25">
      <c r="A9" s="40"/>
      <c r="B9" s="40"/>
      <c r="C9" s="40">
        <v>16</v>
      </c>
      <c r="D9" s="40">
        <v>12</v>
      </c>
      <c r="E9" s="40"/>
      <c r="F9" s="58" t="s">
        <v>21</v>
      </c>
      <c r="G9" s="44" t="s">
        <v>22</v>
      </c>
      <c r="H9" s="45">
        <f t="shared" si="2"/>
        <v>0</v>
      </c>
      <c r="I9" s="46">
        <f t="shared" si="3"/>
        <v>0</v>
      </c>
      <c r="J9" s="46">
        <f>C9*$J$6</f>
        <v>448</v>
      </c>
      <c r="K9" s="46">
        <f t="shared" ref="K9:K31" si="7">D9*$K$6</f>
        <v>0</v>
      </c>
      <c r="L9" s="46">
        <f>E9*$L$6</f>
        <v>0</v>
      </c>
      <c r="M9" s="46">
        <f t="shared" si="4"/>
        <v>0</v>
      </c>
      <c r="N9" s="46">
        <f>A9*$N$6</f>
        <v>0</v>
      </c>
      <c r="O9" s="46">
        <f t="shared" si="5"/>
        <v>208</v>
      </c>
      <c r="P9" s="46">
        <f t="shared" si="6"/>
        <v>0</v>
      </c>
      <c r="Q9" s="46">
        <f t="shared" ref="Q9:Q31" si="8">E9*$Q$6</f>
        <v>0</v>
      </c>
      <c r="R9" s="46">
        <f t="shared" ref="R9:R31" si="9">A9*$R$6</f>
        <v>0</v>
      </c>
      <c r="S9" s="46">
        <f t="shared" ref="S9:S31" si="10">B9*$S$6</f>
        <v>0</v>
      </c>
      <c r="T9" s="46">
        <f t="shared" ref="T9:T31" si="11">C9*$T$6</f>
        <v>0</v>
      </c>
      <c r="U9" s="46">
        <f t="shared" ref="U9:U31" si="12">D9*$U$6</f>
        <v>0</v>
      </c>
      <c r="V9" s="47">
        <f t="shared" ref="V9:V31" si="13">E9*$V$6</f>
        <v>0</v>
      </c>
      <c r="W9" s="48">
        <f t="shared" ref="W9:W31" si="14">A9*$W$6</f>
        <v>0</v>
      </c>
      <c r="X9" s="46">
        <f t="shared" ref="X9:X31" si="15">B9*$X$6</f>
        <v>0</v>
      </c>
      <c r="Y9" s="46">
        <f t="shared" ref="Y9:Y31" si="16">C9*$Y$6</f>
        <v>448</v>
      </c>
      <c r="Z9" s="46">
        <f t="shared" ref="Z9:Z31" si="17">D9*$Z$6</f>
        <v>0</v>
      </c>
      <c r="AA9" s="46">
        <f t="shared" ref="AA9:AA31" si="18">E9*$AA$6</f>
        <v>0</v>
      </c>
      <c r="AB9" s="46">
        <f t="shared" ref="AB9:AB31" si="19">A9*$AB$6</f>
        <v>0</v>
      </c>
      <c r="AC9" s="46">
        <f t="shared" ref="AC9:AC31" si="20">B9*$AC$6</f>
        <v>0</v>
      </c>
      <c r="AD9" s="46">
        <f t="shared" ref="AD9:AD31" si="21">C9*$AD$6</f>
        <v>416</v>
      </c>
      <c r="AE9" s="46">
        <f t="shared" ref="AE9:AE31" si="22">D9*$AE$6</f>
        <v>0</v>
      </c>
      <c r="AF9" s="46">
        <f t="shared" ref="AF9:AF31" si="23">E9*$AF$6</f>
        <v>0</v>
      </c>
      <c r="AG9" s="46">
        <f t="shared" ref="AG9:AG31" si="24">A9*$AG$6</f>
        <v>0</v>
      </c>
      <c r="AH9" s="46">
        <f t="shared" ref="AH9:AH31" si="25">B9*$AH$6</f>
        <v>0</v>
      </c>
      <c r="AI9" s="46">
        <f t="shared" ref="AI9:AI31" si="26">C9*$AI$6</f>
        <v>0</v>
      </c>
      <c r="AJ9" s="46">
        <f t="shared" ref="AJ9:AJ31" si="27">D9*$AJ$6</f>
        <v>0</v>
      </c>
      <c r="AK9" s="46">
        <f t="shared" ref="AK9:AK31" si="28">E9*$AK$6</f>
        <v>0</v>
      </c>
      <c r="AL9" s="45">
        <f t="shared" ref="AL9:AL31" si="29">A9*$AL$6</f>
        <v>0</v>
      </c>
      <c r="AM9" s="46">
        <f t="shared" ref="AM9:AM31" si="30">B9*$AM$6</f>
        <v>0</v>
      </c>
      <c r="AN9" s="46">
        <f t="shared" ref="AN9:AN31" si="31">C9*$AN$6</f>
        <v>448</v>
      </c>
      <c r="AO9" s="46">
        <f t="shared" ref="AO9:AO31" si="32">D9*$AO$6</f>
        <v>0</v>
      </c>
      <c r="AP9" s="46">
        <f t="shared" ref="AP9:AP31" si="33">E9*$AP$6</f>
        <v>0</v>
      </c>
      <c r="AQ9" s="46">
        <f t="shared" ref="AQ9:AQ31" si="34">A9*$AQ$6</f>
        <v>0</v>
      </c>
      <c r="AR9" s="46">
        <f t="shared" ref="AR9:AR31" si="35">B9*$AR$6</f>
        <v>0</v>
      </c>
      <c r="AS9" s="46">
        <f t="shared" ref="AS9:AS31" si="36">C9*$AS$6</f>
        <v>448</v>
      </c>
      <c r="AT9" s="46">
        <f t="shared" ref="AT9:AT31" si="37">D9*$AT$6</f>
        <v>0</v>
      </c>
      <c r="AU9" s="46">
        <f t="shared" ref="AU9:AU31" si="38">E9*$AU$6</f>
        <v>0</v>
      </c>
      <c r="AV9" s="46">
        <f t="shared" ref="AV9:AV31" si="39">A9*$AV$6</f>
        <v>0</v>
      </c>
      <c r="AW9" s="46">
        <f t="shared" ref="AW9:AW31" si="40">B9*$AW$6</f>
        <v>0</v>
      </c>
      <c r="AX9" s="46">
        <f t="shared" ref="AX9:AX31" si="41">C9*$AX$6</f>
        <v>0</v>
      </c>
      <c r="AY9" s="46">
        <f t="shared" ref="AY9:AY31" si="42">D9*$AY$6</f>
        <v>0</v>
      </c>
      <c r="AZ9" s="47">
        <f t="shared" ref="AZ9:AZ31" si="43">E9*$AZ$6</f>
        <v>0</v>
      </c>
      <c r="BA9" s="45">
        <f t="shared" ref="BA9:BA31" si="44">A9*$BA$6</f>
        <v>0</v>
      </c>
      <c r="BB9" s="46">
        <f t="shared" ref="BB9:BB31" si="45">B9*$BB$6</f>
        <v>0</v>
      </c>
      <c r="BC9" s="46">
        <f t="shared" ref="BC9:BC31" si="46">C9*$BC$6</f>
        <v>448</v>
      </c>
      <c r="BD9" s="46">
        <f t="shared" ref="BD9:BD31" si="47">D9*$BD$6</f>
        <v>0</v>
      </c>
      <c r="BE9" s="46">
        <f t="shared" ref="BE9:BE31" si="48">E9*$BE$6</f>
        <v>0</v>
      </c>
      <c r="BF9" s="46">
        <f t="shared" ref="BF9:BF31" si="49">A9*$BF$6</f>
        <v>0</v>
      </c>
      <c r="BG9" s="46">
        <f t="shared" ref="BG9:BG31" si="50">B9*$BG$6</f>
        <v>0</v>
      </c>
      <c r="BH9" s="46">
        <f t="shared" ref="BH9:BH31" si="51">C9*$BH$6</f>
        <v>432</v>
      </c>
      <c r="BI9" s="46">
        <f t="shared" ref="BI9:BI31" si="52">D9*$BI$6</f>
        <v>0</v>
      </c>
      <c r="BJ9" s="46">
        <f t="shared" ref="BJ9:BJ31" si="53">E9*$BJ$6</f>
        <v>0</v>
      </c>
      <c r="BK9" s="46">
        <f t="shared" ref="BK9:BK31" si="54">A9*$BK$6</f>
        <v>0</v>
      </c>
      <c r="BL9" s="46">
        <f t="shared" ref="BL9:BL31" si="55">B9*$BL$6</f>
        <v>0</v>
      </c>
      <c r="BM9" s="46">
        <f t="shared" ref="BM9:BM31" si="56">C9*$BM$6</f>
        <v>0</v>
      </c>
      <c r="BN9" s="46">
        <f t="shared" ref="BN9:BN31" si="57">D9*$BN$6</f>
        <v>0</v>
      </c>
      <c r="BO9" s="47">
        <f t="shared" ref="BO9:BO31" si="58">E9*$BO$6</f>
        <v>0</v>
      </c>
      <c r="BP9" s="48">
        <f t="shared" ref="BP9:BP31" si="59">A9*$BP$6</f>
        <v>0</v>
      </c>
      <c r="BQ9" s="46">
        <f t="shared" ref="BQ9:BQ31" si="60">B9*$BQ$6</f>
        <v>0</v>
      </c>
      <c r="BR9" s="46">
        <f t="shared" ref="BR9:BR31" si="61">C9*$BR$6</f>
        <v>0</v>
      </c>
      <c r="BS9" s="46">
        <f t="shared" ref="BS9:BS31" si="62">D9*$BS$6</f>
        <v>0</v>
      </c>
      <c r="BT9" s="46">
        <f t="shared" ref="BT9:BT31" si="63">E9*$BT$6</f>
        <v>0</v>
      </c>
      <c r="BU9" s="46">
        <f t="shared" ref="BU9:BU31" si="64">A9*$BU$6</f>
        <v>0</v>
      </c>
      <c r="BV9" s="46">
        <f t="shared" ref="BV9:BV31" si="65">B9*$BV$6</f>
        <v>0</v>
      </c>
      <c r="BW9" s="46">
        <f t="shared" ref="BW9:BW31" si="66">C9*$BW$6</f>
        <v>224</v>
      </c>
      <c r="BX9" s="46">
        <f t="shared" ref="BX9:BX31" si="67">D9*$BX$6</f>
        <v>0</v>
      </c>
      <c r="BY9" s="46">
        <f t="shared" ref="BY9:BY31" si="68">E9*$BY$6</f>
        <v>0</v>
      </c>
      <c r="BZ9" s="46">
        <f t="shared" ref="BZ9:BZ31" si="69">A9*$BZ$6</f>
        <v>0</v>
      </c>
      <c r="CA9" s="46">
        <f t="shared" ref="CA9:CA31" si="70">B9*$CA$6</f>
        <v>0</v>
      </c>
      <c r="CB9" s="46">
        <f t="shared" ref="CB9:CB31" si="71">C9*$CB$6</f>
        <v>0</v>
      </c>
      <c r="CC9" s="46">
        <f t="shared" ref="CC9:CC31" si="72">D9*$CC$6</f>
        <v>0</v>
      </c>
      <c r="CD9" s="46">
        <f t="shared" ref="CD9:CD31" si="73">E9*$CD$6</f>
        <v>0</v>
      </c>
      <c r="CE9" s="45">
        <f t="shared" ref="CE9:CE31" si="74">A9*$CE$6</f>
        <v>0</v>
      </c>
      <c r="CF9" s="46">
        <f t="shared" ref="CF9:CF31" si="75">B9*$CF$6</f>
        <v>0</v>
      </c>
      <c r="CG9" s="46">
        <f t="shared" ref="CG9:CG31" si="76">C9*$CG$6</f>
        <v>224</v>
      </c>
      <c r="CH9" s="46">
        <f t="shared" ref="CH9:CH31" si="77">D9*$CH$6</f>
        <v>0</v>
      </c>
      <c r="CI9" s="46">
        <f t="shared" ref="CI9:CI31" si="78">E9*$CI$6</f>
        <v>0</v>
      </c>
      <c r="CJ9" s="46">
        <f t="shared" ref="CJ9:CJ31" si="79">A9*$CJ$6</f>
        <v>0</v>
      </c>
      <c r="CK9" s="46">
        <f t="shared" ref="CK9:CK31" si="80">B9*$CK$6</f>
        <v>0</v>
      </c>
      <c r="CL9" s="46">
        <f t="shared" ref="CL9:CL31" si="81">C9*$CL$6</f>
        <v>208</v>
      </c>
      <c r="CM9" s="46">
        <f t="shared" ref="CM9:CM31" si="82">D9*$CM$6</f>
        <v>0</v>
      </c>
      <c r="CN9" s="46">
        <f t="shared" ref="CN9:CN31" si="83">E9*$CN$6</f>
        <v>0</v>
      </c>
      <c r="CO9" s="46">
        <f t="shared" ref="CO9:CO31" si="84">A9*$CO$6</f>
        <v>0</v>
      </c>
      <c r="CP9" s="46">
        <f t="shared" ref="CP9:CP31" si="85">B9*$CP$6</f>
        <v>0</v>
      </c>
      <c r="CQ9" s="46">
        <f t="shared" ref="CQ9:CQ31" si="86">C9*$CQ$6</f>
        <v>0</v>
      </c>
      <c r="CR9" s="46">
        <f t="shared" ref="CR9:CR31" si="87">D9*$CR$6</f>
        <v>0</v>
      </c>
      <c r="CS9" s="46">
        <f t="shared" ref="CS9:CS31" si="88">E9*$CS$6</f>
        <v>0</v>
      </c>
      <c r="CT9" s="45">
        <f t="shared" ref="CT9:CT31" si="89">A9*$CT$6</f>
        <v>0</v>
      </c>
      <c r="CU9" s="46">
        <f t="shared" ref="CU9:CU31" si="90">B9*$CU$6</f>
        <v>0</v>
      </c>
      <c r="CV9" s="46">
        <f t="shared" ref="CV9:CV31" si="91">C9*$CV$6</f>
        <v>0</v>
      </c>
      <c r="CW9" s="46">
        <f t="shared" ref="CW9:CW31" si="92">D9*$CW$6</f>
        <v>0</v>
      </c>
      <c r="CX9" s="46">
        <f t="shared" ref="CX9:CX31" si="93">E9*$CX$6</f>
        <v>0</v>
      </c>
      <c r="CY9" s="46">
        <f t="shared" ref="CY9:CY31" si="94">A9*$CY$6</f>
        <v>0</v>
      </c>
      <c r="CZ9" s="46">
        <f t="shared" ref="CZ9:CZ31" si="95">B9*$CZ$6</f>
        <v>0</v>
      </c>
      <c r="DA9" s="46">
        <f t="shared" ref="DA9:DA31" si="96">C9*$DA$6</f>
        <v>0</v>
      </c>
      <c r="DB9" s="46">
        <f t="shared" ref="DB9:DB31" si="97">D9*$DB$6</f>
        <v>0</v>
      </c>
      <c r="DC9" s="46">
        <f t="shared" ref="DC9:DC31" si="98">E9*$DC$6</f>
        <v>0</v>
      </c>
      <c r="DD9" s="46">
        <f t="shared" ref="DD9:DD31" si="99">A9*$DD$6</f>
        <v>0</v>
      </c>
      <c r="DE9" s="46">
        <f t="shared" ref="DE9:DE31" si="100">B9*$DE$6</f>
        <v>0</v>
      </c>
      <c r="DF9" s="46">
        <f t="shared" ref="DF9:DF31" si="101">C9*$DF$6</f>
        <v>0</v>
      </c>
      <c r="DG9" s="46">
        <f t="shared" ref="DG9:DG31" si="102">D9*$DG$6</f>
        <v>0</v>
      </c>
      <c r="DH9" s="47">
        <f t="shared" ref="DH9:DH31" si="103">E9*$DH$6</f>
        <v>0</v>
      </c>
      <c r="DI9" s="49">
        <f t="shared" ref="DI9:DI31" si="104">ROUNDUP((H9+I9+J9+K9+L9),0)</f>
        <v>448</v>
      </c>
      <c r="DJ9" s="50">
        <f t="shared" ref="DJ9:DJ31" si="105">ROUNDUP((M9+N9+O9+P9+Q9),0)</f>
        <v>208</v>
      </c>
      <c r="DK9" s="50">
        <f t="shared" ref="DK9:DK31" si="106">ROUNDUP((T9+S9+R9+U9+V9),0)</f>
        <v>0</v>
      </c>
      <c r="DL9" s="51">
        <f t="shared" ref="DL9:DL31" si="107">ROUNDUP((W9+X9+Y9+Z9+AA9),0)</f>
        <v>448</v>
      </c>
      <c r="DM9" s="51">
        <f t="shared" ref="DM9:DM31" si="108">ROUNDUP((AB9+AC9+AD9+AE9+AF9),0)</f>
        <v>416</v>
      </c>
      <c r="DN9" s="51">
        <f t="shared" ref="DN9:DN31" si="109">ROUNDUP((AK9+AJ9+AH9+AI9+AG9),0)</f>
        <v>0</v>
      </c>
      <c r="DO9" s="52">
        <f t="shared" ref="DO9:DO31" si="110">ROUNDUP((AL9+AM9+AN9+AO9+AP9),0)</f>
        <v>448</v>
      </c>
      <c r="DP9" s="52">
        <f t="shared" ref="DP9:DP31" si="111">ROUNDUP((AQ9+AR9+AS9+AT9+AU9),0)</f>
        <v>448</v>
      </c>
      <c r="DQ9" s="52">
        <f t="shared" ref="DQ9:DQ31" si="112">ROUNDUP((AZ9+AY9+AW9+AX9+AV9),0)</f>
        <v>0</v>
      </c>
      <c r="DR9" s="53">
        <f t="shared" ref="DR9:DR30" si="113">ROUNDUP((BA9+BB9+BC9+BD9+BE9),0)</f>
        <v>448</v>
      </c>
      <c r="DS9" s="53">
        <f t="shared" ref="DS9:DS30" si="114">ROUNDUP((BF9+BG9+BH9+BI9+BJ9),0)</f>
        <v>432</v>
      </c>
      <c r="DT9" s="53">
        <f t="shared" ref="DT9:DT30" si="115">ROUNDUP((BM9+BL9+BN9+BO9+BK9),0)</f>
        <v>0</v>
      </c>
      <c r="DU9" s="54">
        <f t="shared" ref="DU9:DU31" si="116">ROUNDUP((BP9+BQ9+BR9+BS9+BT9),0)</f>
        <v>0</v>
      </c>
      <c r="DV9" s="54">
        <f t="shared" ref="DV9:DV31" si="117">ROUNDUP((BW9+BU9+BV9+BX9+BY9),0)</f>
        <v>224</v>
      </c>
      <c r="DW9" s="54">
        <f t="shared" ref="DW9:DW31" si="118">ROUNDUP((CA9+CD9+CC9+CB9+BZ9),0)</f>
        <v>0</v>
      </c>
      <c r="DX9" s="55">
        <f t="shared" ref="DX9:DX31" si="119">ROUNDUP((CG9+CE9+CF9+CH9+CI9),0)</f>
        <v>224</v>
      </c>
      <c r="DY9" s="55">
        <f t="shared" ref="DY9:DY31" si="120">ROUNDUP((CK9+CJ9+CL9+CM9+CN9),0)</f>
        <v>208</v>
      </c>
      <c r="DZ9" s="55">
        <f t="shared" ref="DZ9:DZ31" si="121">ROUNDUP((CS9+CQ9+CR9+CP9+CO9),0)</f>
        <v>0</v>
      </c>
      <c r="EA9" s="56">
        <f t="shared" ref="EA9:EA31" si="122">ROUNDUP((CV9+CT9+CU9+CW9+CX9),0)</f>
        <v>0</v>
      </c>
      <c r="EB9" s="56">
        <f t="shared" ref="EB9:EB31" si="123">ROUNDUP((DA9+CY9+CZ9+DB9+DC9),0)</f>
        <v>0</v>
      </c>
      <c r="EC9" s="56">
        <f t="shared" ref="EC9:EC31" si="124">ROUNDUP((DD9+DF9+DH9+DE9+DG9),0)</f>
        <v>0</v>
      </c>
    </row>
    <row r="10" spans="1:133" s="57" customFormat="1" ht="19.5" x14ac:dyDescent="0.25">
      <c r="A10" s="40"/>
      <c r="B10" s="40"/>
      <c r="C10" s="40"/>
      <c r="D10" s="59"/>
      <c r="E10" s="42">
        <v>180</v>
      </c>
      <c r="F10" s="43" t="s">
        <v>23</v>
      </c>
      <c r="G10" s="60" t="s">
        <v>24</v>
      </c>
      <c r="H10" s="45">
        <f t="shared" si="2"/>
        <v>0</v>
      </c>
      <c r="I10" s="46">
        <f t="shared" si="3"/>
        <v>0</v>
      </c>
      <c r="J10" s="46">
        <f>C10*$J$6</f>
        <v>0</v>
      </c>
      <c r="K10" s="46">
        <f t="shared" si="7"/>
        <v>0</v>
      </c>
      <c r="L10" s="46">
        <f>E10*$L$6</f>
        <v>0</v>
      </c>
      <c r="M10" s="46">
        <f t="shared" si="4"/>
        <v>0</v>
      </c>
      <c r="N10" s="46">
        <f>A10*$N$6</f>
        <v>0</v>
      </c>
      <c r="O10" s="46">
        <f t="shared" si="5"/>
        <v>0</v>
      </c>
      <c r="P10" s="46">
        <f t="shared" si="6"/>
        <v>0</v>
      </c>
      <c r="Q10" s="46">
        <f t="shared" si="8"/>
        <v>2520</v>
      </c>
      <c r="R10" s="46">
        <f t="shared" si="9"/>
        <v>0</v>
      </c>
      <c r="S10" s="46">
        <f t="shared" si="10"/>
        <v>0</v>
      </c>
      <c r="T10" s="46">
        <f t="shared" si="11"/>
        <v>0</v>
      </c>
      <c r="U10" s="46">
        <f t="shared" si="12"/>
        <v>0</v>
      </c>
      <c r="V10" s="47">
        <f t="shared" si="13"/>
        <v>0</v>
      </c>
      <c r="W10" s="48">
        <f t="shared" si="14"/>
        <v>0</v>
      </c>
      <c r="X10" s="46">
        <f t="shared" si="15"/>
        <v>0</v>
      </c>
      <c r="Y10" s="46">
        <f t="shared" si="16"/>
        <v>0</v>
      </c>
      <c r="Z10" s="46">
        <f t="shared" si="17"/>
        <v>0</v>
      </c>
      <c r="AA10" s="46">
        <f t="shared" si="18"/>
        <v>0</v>
      </c>
      <c r="AB10" s="46">
        <f t="shared" si="19"/>
        <v>0</v>
      </c>
      <c r="AC10" s="46">
        <f t="shared" si="20"/>
        <v>0</v>
      </c>
      <c r="AD10" s="46">
        <f t="shared" si="21"/>
        <v>0</v>
      </c>
      <c r="AE10" s="46">
        <f t="shared" si="22"/>
        <v>0</v>
      </c>
      <c r="AF10" s="46">
        <f t="shared" si="23"/>
        <v>0</v>
      </c>
      <c r="AG10" s="46">
        <f t="shared" si="24"/>
        <v>0</v>
      </c>
      <c r="AH10" s="46">
        <f t="shared" si="25"/>
        <v>0</v>
      </c>
      <c r="AI10" s="46">
        <f t="shared" si="26"/>
        <v>0</v>
      </c>
      <c r="AJ10" s="46">
        <f t="shared" si="27"/>
        <v>0</v>
      </c>
      <c r="AK10" s="46">
        <f t="shared" si="28"/>
        <v>0</v>
      </c>
      <c r="AL10" s="45">
        <f t="shared" si="29"/>
        <v>0</v>
      </c>
      <c r="AM10" s="46">
        <f t="shared" si="30"/>
        <v>0</v>
      </c>
      <c r="AN10" s="46">
        <f t="shared" si="31"/>
        <v>0</v>
      </c>
      <c r="AO10" s="46">
        <f t="shared" si="32"/>
        <v>0</v>
      </c>
      <c r="AP10" s="46">
        <f t="shared" si="33"/>
        <v>0</v>
      </c>
      <c r="AQ10" s="46">
        <f t="shared" si="34"/>
        <v>0</v>
      </c>
      <c r="AR10" s="46">
        <f t="shared" si="35"/>
        <v>0</v>
      </c>
      <c r="AS10" s="46">
        <f t="shared" si="36"/>
        <v>0</v>
      </c>
      <c r="AT10" s="46">
        <f t="shared" si="37"/>
        <v>0</v>
      </c>
      <c r="AU10" s="46">
        <f t="shared" si="38"/>
        <v>0</v>
      </c>
      <c r="AV10" s="46">
        <f t="shared" si="39"/>
        <v>0</v>
      </c>
      <c r="AW10" s="46">
        <f t="shared" si="40"/>
        <v>0</v>
      </c>
      <c r="AX10" s="46">
        <f t="shared" si="41"/>
        <v>0</v>
      </c>
      <c r="AY10" s="46">
        <f t="shared" si="42"/>
        <v>0</v>
      </c>
      <c r="AZ10" s="47">
        <f t="shared" si="43"/>
        <v>0</v>
      </c>
      <c r="BA10" s="45">
        <f t="shared" si="44"/>
        <v>0</v>
      </c>
      <c r="BB10" s="46">
        <f t="shared" si="45"/>
        <v>0</v>
      </c>
      <c r="BC10" s="46">
        <f t="shared" si="46"/>
        <v>0</v>
      </c>
      <c r="BD10" s="46">
        <f t="shared" si="47"/>
        <v>0</v>
      </c>
      <c r="BE10" s="46">
        <f t="shared" si="48"/>
        <v>0</v>
      </c>
      <c r="BF10" s="46">
        <f t="shared" si="49"/>
        <v>0</v>
      </c>
      <c r="BG10" s="46">
        <f t="shared" si="50"/>
        <v>0</v>
      </c>
      <c r="BH10" s="46">
        <f t="shared" si="51"/>
        <v>0</v>
      </c>
      <c r="BI10" s="46">
        <f t="shared" si="52"/>
        <v>0</v>
      </c>
      <c r="BJ10" s="46">
        <f t="shared" si="53"/>
        <v>0</v>
      </c>
      <c r="BK10" s="46">
        <f t="shared" si="54"/>
        <v>0</v>
      </c>
      <c r="BL10" s="46">
        <f t="shared" si="55"/>
        <v>0</v>
      </c>
      <c r="BM10" s="46">
        <f t="shared" si="56"/>
        <v>0</v>
      </c>
      <c r="BN10" s="46">
        <f t="shared" si="57"/>
        <v>0</v>
      </c>
      <c r="BO10" s="47">
        <f t="shared" si="58"/>
        <v>0</v>
      </c>
      <c r="BP10" s="48">
        <f t="shared" si="59"/>
        <v>0</v>
      </c>
      <c r="BQ10" s="46">
        <f t="shared" si="60"/>
        <v>0</v>
      </c>
      <c r="BR10" s="46">
        <f t="shared" si="61"/>
        <v>0</v>
      </c>
      <c r="BS10" s="46">
        <f t="shared" si="62"/>
        <v>0</v>
      </c>
      <c r="BT10" s="46">
        <f t="shared" si="63"/>
        <v>0</v>
      </c>
      <c r="BU10" s="46">
        <f t="shared" si="64"/>
        <v>0</v>
      </c>
      <c r="BV10" s="46">
        <f t="shared" si="65"/>
        <v>0</v>
      </c>
      <c r="BW10" s="46">
        <f t="shared" si="66"/>
        <v>0</v>
      </c>
      <c r="BX10" s="46">
        <f t="shared" si="67"/>
        <v>0</v>
      </c>
      <c r="BY10" s="46">
        <f t="shared" si="68"/>
        <v>0</v>
      </c>
      <c r="BZ10" s="46">
        <f t="shared" si="69"/>
        <v>0</v>
      </c>
      <c r="CA10" s="46">
        <f t="shared" si="70"/>
        <v>0</v>
      </c>
      <c r="CB10" s="46">
        <f t="shared" si="71"/>
        <v>0</v>
      </c>
      <c r="CC10" s="46">
        <f t="shared" si="72"/>
        <v>0</v>
      </c>
      <c r="CD10" s="46">
        <f t="shared" si="73"/>
        <v>0</v>
      </c>
      <c r="CE10" s="45">
        <f t="shared" si="74"/>
        <v>0</v>
      </c>
      <c r="CF10" s="46">
        <f t="shared" si="75"/>
        <v>0</v>
      </c>
      <c r="CG10" s="46">
        <f t="shared" si="76"/>
        <v>0</v>
      </c>
      <c r="CH10" s="46">
        <f t="shared" si="77"/>
        <v>0</v>
      </c>
      <c r="CI10" s="46">
        <f t="shared" si="78"/>
        <v>0</v>
      </c>
      <c r="CJ10" s="46">
        <f t="shared" si="79"/>
        <v>0</v>
      </c>
      <c r="CK10" s="46">
        <f t="shared" si="80"/>
        <v>0</v>
      </c>
      <c r="CL10" s="46">
        <f t="shared" si="81"/>
        <v>0</v>
      </c>
      <c r="CM10" s="46">
        <f t="shared" si="82"/>
        <v>0</v>
      </c>
      <c r="CN10" s="46">
        <f t="shared" si="83"/>
        <v>0</v>
      </c>
      <c r="CO10" s="46">
        <f t="shared" si="84"/>
        <v>0</v>
      </c>
      <c r="CP10" s="46">
        <f t="shared" si="85"/>
        <v>0</v>
      </c>
      <c r="CQ10" s="46">
        <f t="shared" si="86"/>
        <v>0</v>
      </c>
      <c r="CR10" s="46">
        <f t="shared" si="87"/>
        <v>0</v>
      </c>
      <c r="CS10" s="46">
        <f t="shared" si="88"/>
        <v>0</v>
      </c>
      <c r="CT10" s="45">
        <f t="shared" si="89"/>
        <v>0</v>
      </c>
      <c r="CU10" s="46">
        <f t="shared" si="90"/>
        <v>0</v>
      </c>
      <c r="CV10" s="46">
        <f t="shared" si="91"/>
        <v>0</v>
      </c>
      <c r="CW10" s="46">
        <f t="shared" si="92"/>
        <v>0</v>
      </c>
      <c r="CX10" s="46">
        <f t="shared" si="93"/>
        <v>0</v>
      </c>
      <c r="CY10" s="46">
        <f t="shared" si="94"/>
        <v>0</v>
      </c>
      <c r="CZ10" s="46">
        <f t="shared" si="95"/>
        <v>0</v>
      </c>
      <c r="DA10" s="46">
        <f t="shared" si="96"/>
        <v>0</v>
      </c>
      <c r="DB10" s="46">
        <f t="shared" si="97"/>
        <v>0</v>
      </c>
      <c r="DC10" s="46">
        <f t="shared" si="98"/>
        <v>0</v>
      </c>
      <c r="DD10" s="46">
        <f t="shared" si="99"/>
        <v>0</v>
      </c>
      <c r="DE10" s="46">
        <f t="shared" si="100"/>
        <v>0</v>
      </c>
      <c r="DF10" s="46">
        <f t="shared" si="101"/>
        <v>0</v>
      </c>
      <c r="DG10" s="46">
        <f t="shared" si="102"/>
        <v>0</v>
      </c>
      <c r="DH10" s="47">
        <f t="shared" si="103"/>
        <v>0</v>
      </c>
      <c r="DI10" s="49">
        <f t="shared" si="104"/>
        <v>0</v>
      </c>
      <c r="DJ10" s="50">
        <f t="shared" si="105"/>
        <v>2520</v>
      </c>
      <c r="DK10" s="50">
        <f t="shared" si="106"/>
        <v>0</v>
      </c>
      <c r="DL10" s="51">
        <f t="shared" si="107"/>
        <v>0</v>
      </c>
      <c r="DM10" s="51">
        <f t="shared" si="108"/>
        <v>0</v>
      </c>
      <c r="DN10" s="51">
        <f t="shared" si="109"/>
        <v>0</v>
      </c>
      <c r="DO10" s="52">
        <f t="shared" si="110"/>
        <v>0</v>
      </c>
      <c r="DP10" s="52">
        <f t="shared" si="111"/>
        <v>0</v>
      </c>
      <c r="DQ10" s="52">
        <f t="shared" si="112"/>
        <v>0</v>
      </c>
      <c r="DR10" s="53">
        <f t="shared" si="113"/>
        <v>0</v>
      </c>
      <c r="DS10" s="53">
        <f t="shared" si="114"/>
        <v>0</v>
      </c>
      <c r="DT10" s="53">
        <f t="shared" si="115"/>
        <v>0</v>
      </c>
      <c r="DU10" s="54">
        <f t="shared" si="116"/>
        <v>0</v>
      </c>
      <c r="DV10" s="54">
        <f t="shared" si="117"/>
        <v>0</v>
      </c>
      <c r="DW10" s="54">
        <f t="shared" si="118"/>
        <v>0</v>
      </c>
      <c r="DX10" s="55">
        <f t="shared" si="119"/>
        <v>0</v>
      </c>
      <c r="DY10" s="55">
        <f t="shared" si="120"/>
        <v>0</v>
      </c>
      <c r="DZ10" s="55">
        <f t="shared" si="121"/>
        <v>0</v>
      </c>
      <c r="EA10" s="56">
        <f t="shared" si="122"/>
        <v>0</v>
      </c>
      <c r="EB10" s="56">
        <f t="shared" si="123"/>
        <v>0</v>
      </c>
      <c r="EC10" s="56">
        <f t="shared" si="124"/>
        <v>0</v>
      </c>
    </row>
    <row r="11" spans="1:133" s="57" customFormat="1" ht="19.5" x14ac:dyDescent="0.25">
      <c r="A11" s="40"/>
      <c r="B11" s="40"/>
      <c r="C11" s="40">
        <v>0.16</v>
      </c>
      <c r="D11" s="59"/>
      <c r="E11" s="59"/>
      <c r="F11" s="61" t="s">
        <v>25</v>
      </c>
      <c r="G11" s="44" t="s">
        <v>26</v>
      </c>
      <c r="H11" s="45">
        <f t="shared" si="2"/>
        <v>0</v>
      </c>
      <c r="I11" s="46">
        <f t="shared" si="3"/>
        <v>0</v>
      </c>
      <c r="J11" s="46">
        <f>C11*$J$6</f>
        <v>4.4800000000000004</v>
      </c>
      <c r="K11" s="46">
        <f t="shared" si="7"/>
        <v>0</v>
      </c>
      <c r="L11" s="46">
        <f t="shared" ref="L11:L26" si="125">E11*$L$6</f>
        <v>0</v>
      </c>
      <c r="M11" s="46">
        <f t="shared" si="4"/>
        <v>0</v>
      </c>
      <c r="N11" s="46">
        <f>A11*$N$6</f>
        <v>0</v>
      </c>
      <c r="O11" s="46">
        <f t="shared" si="5"/>
        <v>2.08</v>
      </c>
      <c r="P11" s="46">
        <f t="shared" si="6"/>
        <v>0</v>
      </c>
      <c r="Q11" s="46">
        <f t="shared" si="8"/>
        <v>0</v>
      </c>
      <c r="R11" s="46">
        <f t="shared" si="9"/>
        <v>0</v>
      </c>
      <c r="S11" s="46">
        <f t="shared" si="10"/>
        <v>0</v>
      </c>
      <c r="T11" s="46">
        <f t="shared" si="11"/>
        <v>0</v>
      </c>
      <c r="U11" s="46">
        <f t="shared" si="12"/>
        <v>0</v>
      </c>
      <c r="V11" s="47">
        <f t="shared" si="13"/>
        <v>0</v>
      </c>
      <c r="W11" s="48">
        <f t="shared" si="14"/>
        <v>0</v>
      </c>
      <c r="X11" s="46">
        <f t="shared" si="15"/>
        <v>0</v>
      </c>
      <c r="Y11" s="46">
        <f t="shared" si="16"/>
        <v>4.4800000000000004</v>
      </c>
      <c r="Z11" s="46">
        <f t="shared" si="17"/>
        <v>0</v>
      </c>
      <c r="AA11" s="46">
        <f t="shared" si="18"/>
        <v>0</v>
      </c>
      <c r="AB11" s="46">
        <f t="shared" si="19"/>
        <v>0</v>
      </c>
      <c r="AC11" s="46">
        <f t="shared" si="20"/>
        <v>0</v>
      </c>
      <c r="AD11" s="46">
        <f t="shared" si="21"/>
        <v>4.16</v>
      </c>
      <c r="AE11" s="46">
        <f t="shared" si="22"/>
        <v>0</v>
      </c>
      <c r="AF11" s="46">
        <f t="shared" si="23"/>
        <v>0</v>
      </c>
      <c r="AG11" s="46">
        <f t="shared" si="24"/>
        <v>0</v>
      </c>
      <c r="AH11" s="46">
        <f t="shared" si="25"/>
        <v>0</v>
      </c>
      <c r="AI11" s="46">
        <f t="shared" si="26"/>
        <v>0</v>
      </c>
      <c r="AJ11" s="46">
        <f t="shared" si="27"/>
        <v>0</v>
      </c>
      <c r="AK11" s="46">
        <f t="shared" si="28"/>
        <v>0</v>
      </c>
      <c r="AL11" s="45">
        <f t="shared" si="29"/>
        <v>0</v>
      </c>
      <c r="AM11" s="46">
        <f t="shared" si="30"/>
        <v>0</v>
      </c>
      <c r="AN11" s="46">
        <f t="shared" si="31"/>
        <v>4.4800000000000004</v>
      </c>
      <c r="AO11" s="46">
        <f t="shared" si="32"/>
        <v>0</v>
      </c>
      <c r="AP11" s="46">
        <f t="shared" si="33"/>
        <v>0</v>
      </c>
      <c r="AQ11" s="46">
        <f t="shared" si="34"/>
        <v>0</v>
      </c>
      <c r="AR11" s="46">
        <f t="shared" si="35"/>
        <v>0</v>
      </c>
      <c r="AS11" s="46">
        <f t="shared" si="36"/>
        <v>4.4800000000000004</v>
      </c>
      <c r="AT11" s="46">
        <f t="shared" si="37"/>
        <v>0</v>
      </c>
      <c r="AU11" s="46">
        <f t="shared" si="38"/>
        <v>0</v>
      </c>
      <c r="AV11" s="46">
        <f t="shared" si="39"/>
        <v>0</v>
      </c>
      <c r="AW11" s="46">
        <f t="shared" si="40"/>
        <v>0</v>
      </c>
      <c r="AX11" s="46">
        <f t="shared" si="41"/>
        <v>0</v>
      </c>
      <c r="AY11" s="46">
        <f t="shared" si="42"/>
        <v>0</v>
      </c>
      <c r="AZ11" s="47">
        <f t="shared" si="43"/>
        <v>0</v>
      </c>
      <c r="BA11" s="45">
        <f t="shared" si="44"/>
        <v>0</v>
      </c>
      <c r="BB11" s="46">
        <f t="shared" si="45"/>
        <v>0</v>
      </c>
      <c r="BC11" s="46">
        <f t="shared" si="46"/>
        <v>4.4800000000000004</v>
      </c>
      <c r="BD11" s="46">
        <f t="shared" si="47"/>
        <v>0</v>
      </c>
      <c r="BE11" s="46">
        <f t="shared" si="48"/>
        <v>0</v>
      </c>
      <c r="BF11" s="46">
        <f t="shared" si="49"/>
        <v>0</v>
      </c>
      <c r="BG11" s="46">
        <f t="shared" si="50"/>
        <v>0</v>
      </c>
      <c r="BH11" s="46">
        <f t="shared" si="51"/>
        <v>4.32</v>
      </c>
      <c r="BI11" s="46">
        <f t="shared" si="52"/>
        <v>0</v>
      </c>
      <c r="BJ11" s="46">
        <f t="shared" si="53"/>
        <v>0</v>
      </c>
      <c r="BK11" s="46">
        <f t="shared" si="54"/>
        <v>0</v>
      </c>
      <c r="BL11" s="46">
        <f t="shared" si="55"/>
        <v>0</v>
      </c>
      <c r="BM11" s="46">
        <f t="shared" si="56"/>
        <v>0</v>
      </c>
      <c r="BN11" s="46">
        <f t="shared" si="57"/>
        <v>0</v>
      </c>
      <c r="BO11" s="47">
        <f t="shared" si="58"/>
        <v>0</v>
      </c>
      <c r="BP11" s="48">
        <f t="shared" si="59"/>
        <v>0</v>
      </c>
      <c r="BQ11" s="46">
        <f t="shared" si="60"/>
        <v>0</v>
      </c>
      <c r="BR11" s="46">
        <f t="shared" si="61"/>
        <v>0</v>
      </c>
      <c r="BS11" s="46">
        <f t="shared" si="62"/>
        <v>0</v>
      </c>
      <c r="BT11" s="46">
        <f t="shared" si="63"/>
        <v>0</v>
      </c>
      <c r="BU11" s="46">
        <f t="shared" si="64"/>
        <v>0</v>
      </c>
      <c r="BV11" s="46">
        <f t="shared" si="65"/>
        <v>0</v>
      </c>
      <c r="BW11" s="46">
        <f t="shared" si="66"/>
        <v>2.2400000000000002</v>
      </c>
      <c r="BX11" s="46">
        <f t="shared" si="67"/>
        <v>0</v>
      </c>
      <c r="BY11" s="46">
        <f t="shared" si="68"/>
        <v>0</v>
      </c>
      <c r="BZ11" s="46">
        <f t="shared" si="69"/>
        <v>0</v>
      </c>
      <c r="CA11" s="46">
        <f t="shared" si="70"/>
        <v>0</v>
      </c>
      <c r="CB11" s="46">
        <f t="shared" si="71"/>
        <v>0</v>
      </c>
      <c r="CC11" s="46">
        <f t="shared" si="72"/>
        <v>0</v>
      </c>
      <c r="CD11" s="46">
        <f t="shared" si="73"/>
        <v>0</v>
      </c>
      <c r="CE11" s="45">
        <f t="shared" si="74"/>
        <v>0</v>
      </c>
      <c r="CF11" s="46">
        <f t="shared" si="75"/>
        <v>0</v>
      </c>
      <c r="CG11" s="46">
        <f t="shared" si="76"/>
        <v>2.2400000000000002</v>
      </c>
      <c r="CH11" s="46">
        <f t="shared" si="77"/>
        <v>0</v>
      </c>
      <c r="CI11" s="46">
        <f t="shared" si="78"/>
        <v>0</v>
      </c>
      <c r="CJ11" s="46">
        <f t="shared" si="79"/>
        <v>0</v>
      </c>
      <c r="CK11" s="46">
        <f t="shared" si="80"/>
        <v>0</v>
      </c>
      <c r="CL11" s="46">
        <f t="shared" si="81"/>
        <v>2.08</v>
      </c>
      <c r="CM11" s="46">
        <f t="shared" si="82"/>
        <v>0</v>
      </c>
      <c r="CN11" s="46">
        <f t="shared" si="83"/>
        <v>0</v>
      </c>
      <c r="CO11" s="46">
        <f t="shared" si="84"/>
        <v>0</v>
      </c>
      <c r="CP11" s="46">
        <f t="shared" si="85"/>
        <v>0</v>
      </c>
      <c r="CQ11" s="46">
        <f t="shared" si="86"/>
        <v>0</v>
      </c>
      <c r="CR11" s="46">
        <f t="shared" si="87"/>
        <v>0</v>
      </c>
      <c r="CS11" s="46">
        <f t="shared" si="88"/>
        <v>0</v>
      </c>
      <c r="CT11" s="45">
        <f t="shared" si="89"/>
        <v>0</v>
      </c>
      <c r="CU11" s="46">
        <f t="shared" si="90"/>
        <v>0</v>
      </c>
      <c r="CV11" s="46">
        <f t="shared" si="91"/>
        <v>0</v>
      </c>
      <c r="CW11" s="46">
        <f t="shared" si="92"/>
        <v>0</v>
      </c>
      <c r="CX11" s="46">
        <f t="shared" si="93"/>
        <v>0</v>
      </c>
      <c r="CY11" s="46">
        <f t="shared" si="94"/>
        <v>0</v>
      </c>
      <c r="CZ11" s="46">
        <f t="shared" si="95"/>
        <v>0</v>
      </c>
      <c r="DA11" s="46">
        <f t="shared" si="96"/>
        <v>0</v>
      </c>
      <c r="DB11" s="46">
        <f t="shared" si="97"/>
        <v>0</v>
      </c>
      <c r="DC11" s="46">
        <f t="shared" si="98"/>
        <v>0</v>
      </c>
      <c r="DD11" s="46">
        <f t="shared" si="99"/>
        <v>0</v>
      </c>
      <c r="DE11" s="46">
        <f t="shared" si="100"/>
        <v>0</v>
      </c>
      <c r="DF11" s="46">
        <f t="shared" si="101"/>
        <v>0</v>
      </c>
      <c r="DG11" s="46">
        <f t="shared" si="102"/>
        <v>0</v>
      </c>
      <c r="DH11" s="47">
        <f t="shared" si="103"/>
        <v>0</v>
      </c>
      <c r="DI11" s="49">
        <f t="shared" si="104"/>
        <v>5</v>
      </c>
      <c r="DJ11" s="50">
        <f t="shared" si="105"/>
        <v>3</v>
      </c>
      <c r="DK11" s="50">
        <f t="shared" si="106"/>
        <v>0</v>
      </c>
      <c r="DL11" s="51">
        <f t="shared" si="107"/>
        <v>5</v>
      </c>
      <c r="DM11" s="51">
        <f t="shared" si="108"/>
        <v>5</v>
      </c>
      <c r="DN11" s="51">
        <f t="shared" si="109"/>
        <v>0</v>
      </c>
      <c r="DO11" s="52">
        <f t="shared" si="110"/>
        <v>5</v>
      </c>
      <c r="DP11" s="52">
        <f t="shared" si="111"/>
        <v>5</v>
      </c>
      <c r="DQ11" s="52">
        <f t="shared" si="112"/>
        <v>0</v>
      </c>
      <c r="DR11" s="53">
        <f t="shared" si="113"/>
        <v>5</v>
      </c>
      <c r="DS11" s="53">
        <f t="shared" si="114"/>
        <v>5</v>
      </c>
      <c r="DT11" s="53">
        <f t="shared" si="115"/>
        <v>0</v>
      </c>
      <c r="DU11" s="54">
        <f t="shared" si="116"/>
        <v>0</v>
      </c>
      <c r="DV11" s="54">
        <f t="shared" si="117"/>
        <v>3</v>
      </c>
      <c r="DW11" s="54">
        <f t="shared" si="118"/>
        <v>0</v>
      </c>
      <c r="DX11" s="55">
        <f t="shared" si="119"/>
        <v>3</v>
      </c>
      <c r="DY11" s="55">
        <f t="shared" si="120"/>
        <v>3</v>
      </c>
      <c r="DZ11" s="55">
        <f t="shared" si="121"/>
        <v>0</v>
      </c>
      <c r="EA11" s="56">
        <f t="shared" si="122"/>
        <v>0</v>
      </c>
      <c r="EB11" s="56">
        <f t="shared" si="123"/>
        <v>0</v>
      </c>
      <c r="EC11" s="56">
        <f t="shared" si="124"/>
        <v>0</v>
      </c>
    </row>
    <row r="12" spans="1:133" s="57" customFormat="1" ht="19.5" x14ac:dyDescent="0.25">
      <c r="A12" s="40"/>
      <c r="B12" s="40">
        <v>0.4</v>
      </c>
      <c r="C12" s="40"/>
      <c r="D12" s="59"/>
      <c r="E12" s="59"/>
      <c r="F12" s="61" t="s">
        <v>27</v>
      </c>
      <c r="G12" s="44" t="s">
        <v>28</v>
      </c>
      <c r="H12" s="45">
        <f t="shared" si="2"/>
        <v>0</v>
      </c>
      <c r="I12" s="46">
        <f>B12*$I$6</f>
        <v>0</v>
      </c>
      <c r="J12" s="46">
        <f t="shared" ref="J12:J30" si="126">C12*$J$6</f>
        <v>0</v>
      </c>
      <c r="K12" s="46">
        <f t="shared" si="7"/>
        <v>0</v>
      </c>
      <c r="L12" s="46">
        <f t="shared" si="125"/>
        <v>0</v>
      </c>
      <c r="M12" s="46">
        <f t="shared" si="4"/>
        <v>0</v>
      </c>
      <c r="N12" s="46">
        <f>B12*$N$6</f>
        <v>0</v>
      </c>
      <c r="O12" s="46">
        <f t="shared" si="5"/>
        <v>0</v>
      </c>
      <c r="P12" s="46">
        <f t="shared" si="6"/>
        <v>0</v>
      </c>
      <c r="Q12" s="46">
        <f t="shared" si="8"/>
        <v>0</v>
      </c>
      <c r="R12" s="46">
        <f t="shared" si="9"/>
        <v>0</v>
      </c>
      <c r="S12" s="46">
        <f t="shared" si="10"/>
        <v>0</v>
      </c>
      <c r="T12" s="46">
        <f t="shared" si="11"/>
        <v>0</v>
      </c>
      <c r="U12" s="46">
        <f t="shared" si="12"/>
        <v>0</v>
      </c>
      <c r="V12" s="47">
        <f t="shared" si="13"/>
        <v>0</v>
      </c>
      <c r="W12" s="48">
        <f t="shared" si="14"/>
        <v>0</v>
      </c>
      <c r="X12" s="46">
        <f t="shared" si="15"/>
        <v>0</v>
      </c>
      <c r="Y12" s="46">
        <f t="shared" si="16"/>
        <v>0</v>
      </c>
      <c r="Z12" s="46">
        <f t="shared" si="17"/>
        <v>0</v>
      </c>
      <c r="AA12" s="46">
        <f t="shared" si="18"/>
        <v>0</v>
      </c>
      <c r="AB12" s="46">
        <f t="shared" si="19"/>
        <v>0</v>
      </c>
      <c r="AC12" s="46">
        <f t="shared" si="20"/>
        <v>0</v>
      </c>
      <c r="AD12" s="46">
        <f t="shared" si="21"/>
        <v>0</v>
      </c>
      <c r="AE12" s="46">
        <f t="shared" si="22"/>
        <v>0</v>
      </c>
      <c r="AF12" s="46">
        <f t="shared" si="23"/>
        <v>0</v>
      </c>
      <c r="AG12" s="46">
        <f t="shared" si="24"/>
        <v>0</v>
      </c>
      <c r="AH12" s="46">
        <f t="shared" si="25"/>
        <v>0</v>
      </c>
      <c r="AI12" s="46">
        <f t="shared" si="26"/>
        <v>0</v>
      </c>
      <c r="AJ12" s="46">
        <f t="shared" si="27"/>
        <v>0</v>
      </c>
      <c r="AK12" s="46">
        <f t="shared" si="28"/>
        <v>0</v>
      </c>
      <c r="AL12" s="45">
        <f t="shared" si="29"/>
        <v>0</v>
      </c>
      <c r="AM12" s="46">
        <f t="shared" si="30"/>
        <v>0</v>
      </c>
      <c r="AN12" s="46">
        <f t="shared" si="31"/>
        <v>0</v>
      </c>
      <c r="AO12" s="46">
        <f t="shared" si="32"/>
        <v>0</v>
      </c>
      <c r="AP12" s="46">
        <f t="shared" si="33"/>
        <v>0</v>
      </c>
      <c r="AQ12" s="46">
        <f t="shared" si="34"/>
        <v>0</v>
      </c>
      <c r="AR12" s="46">
        <f t="shared" si="35"/>
        <v>0</v>
      </c>
      <c r="AS12" s="46">
        <f t="shared" si="36"/>
        <v>0</v>
      </c>
      <c r="AT12" s="46">
        <f t="shared" si="37"/>
        <v>0</v>
      </c>
      <c r="AU12" s="46">
        <f t="shared" si="38"/>
        <v>0</v>
      </c>
      <c r="AV12" s="46">
        <f t="shared" si="39"/>
        <v>0</v>
      </c>
      <c r="AW12" s="46">
        <f t="shared" si="40"/>
        <v>0</v>
      </c>
      <c r="AX12" s="46">
        <f t="shared" si="41"/>
        <v>0</v>
      </c>
      <c r="AY12" s="46">
        <f t="shared" si="42"/>
        <v>0</v>
      </c>
      <c r="AZ12" s="47">
        <f t="shared" si="43"/>
        <v>0</v>
      </c>
      <c r="BA12" s="45">
        <f t="shared" si="44"/>
        <v>0</v>
      </c>
      <c r="BB12" s="46">
        <f t="shared" si="45"/>
        <v>0</v>
      </c>
      <c r="BC12" s="46">
        <f t="shared" si="46"/>
        <v>0</v>
      </c>
      <c r="BD12" s="46">
        <f t="shared" si="47"/>
        <v>0</v>
      </c>
      <c r="BE12" s="46">
        <f t="shared" si="48"/>
        <v>0</v>
      </c>
      <c r="BF12" s="46">
        <f t="shared" si="49"/>
        <v>0</v>
      </c>
      <c r="BG12" s="46">
        <f t="shared" si="50"/>
        <v>0</v>
      </c>
      <c r="BH12" s="46">
        <f t="shared" si="51"/>
        <v>0</v>
      </c>
      <c r="BI12" s="46">
        <f t="shared" si="52"/>
        <v>0</v>
      </c>
      <c r="BJ12" s="46">
        <f t="shared" si="53"/>
        <v>0</v>
      </c>
      <c r="BK12" s="46">
        <f t="shared" si="54"/>
        <v>0</v>
      </c>
      <c r="BL12" s="46">
        <f t="shared" si="55"/>
        <v>0</v>
      </c>
      <c r="BM12" s="46">
        <f t="shared" si="56"/>
        <v>0</v>
      </c>
      <c r="BN12" s="46">
        <f t="shared" si="57"/>
        <v>0</v>
      </c>
      <c r="BO12" s="47">
        <f t="shared" si="58"/>
        <v>0</v>
      </c>
      <c r="BP12" s="48">
        <f t="shared" si="59"/>
        <v>0</v>
      </c>
      <c r="BQ12" s="46">
        <f t="shared" si="60"/>
        <v>11.200000000000001</v>
      </c>
      <c r="BR12" s="46">
        <f t="shared" si="61"/>
        <v>0</v>
      </c>
      <c r="BS12" s="46">
        <f t="shared" si="62"/>
        <v>0</v>
      </c>
      <c r="BT12" s="46">
        <f t="shared" si="63"/>
        <v>0</v>
      </c>
      <c r="BU12" s="46">
        <f t="shared" si="64"/>
        <v>0</v>
      </c>
      <c r="BV12" s="46">
        <f t="shared" si="65"/>
        <v>5.6000000000000005</v>
      </c>
      <c r="BW12" s="46">
        <f t="shared" si="66"/>
        <v>0</v>
      </c>
      <c r="BX12" s="46">
        <f t="shared" si="67"/>
        <v>0</v>
      </c>
      <c r="BY12" s="46">
        <f t="shared" si="68"/>
        <v>0</v>
      </c>
      <c r="BZ12" s="46">
        <f t="shared" si="69"/>
        <v>0</v>
      </c>
      <c r="CA12" s="46">
        <f t="shared" si="70"/>
        <v>0</v>
      </c>
      <c r="CB12" s="46">
        <f t="shared" si="71"/>
        <v>0</v>
      </c>
      <c r="CC12" s="46">
        <f t="shared" si="72"/>
        <v>0</v>
      </c>
      <c r="CD12" s="46">
        <f t="shared" si="73"/>
        <v>0</v>
      </c>
      <c r="CE12" s="45">
        <f t="shared" si="74"/>
        <v>0</v>
      </c>
      <c r="CF12" s="46">
        <f t="shared" si="75"/>
        <v>5.6000000000000005</v>
      </c>
      <c r="CG12" s="46">
        <f t="shared" si="76"/>
        <v>0</v>
      </c>
      <c r="CH12" s="46">
        <f t="shared" si="77"/>
        <v>0</v>
      </c>
      <c r="CI12" s="46">
        <f t="shared" si="78"/>
        <v>0</v>
      </c>
      <c r="CJ12" s="46">
        <f t="shared" si="79"/>
        <v>0</v>
      </c>
      <c r="CK12" s="46">
        <f t="shared" si="80"/>
        <v>5.2</v>
      </c>
      <c r="CL12" s="46">
        <f t="shared" si="81"/>
        <v>0</v>
      </c>
      <c r="CM12" s="46">
        <f t="shared" si="82"/>
        <v>0</v>
      </c>
      <c r="CN12" s="46">
        <f t="shared" si="83"/>
        <v>0</v>
      </c>
      <c r="CO12" s="46">
        <f t="shared" si="84"/>
        <v>0</v>
      </c>
      <c r="CP12" s="46">
        <f t="shared" si="85"/>
        <v>0</v>
      </c>
      <c r="CQ12" s="46">
        <f t="shared" si="86"/>
        <v>0</v>
      </c>
      <c r="CR12" s="46">
        <f t="shared" si="87"/>
        <v>0</v>
      </c>
      <c r="CS12" s="46">
        <f t="shared" si="88"/>
        <v>0</v>
      </c>
      <c r="CT12" s="45">
        <f t="shared" si="89"/>
        <v>0</v>
      </c>
      <c r="CU12" s="46">
        <f t="shared" si="90"/>
        <v>0</v>
      </c>
      <c r="CV12" s="46">
        <f t="shared" si="91"/>
        <v>0</v>
      </c>
      <c r="CW12" s="46">
        <f t="shared" si="92"/>
        <v>0</v>
      </c>
      <c r="CX12" s="46">
        <f t="shared" si="93"/>
        <v>0</v>
      </c>
      <c r="CY12" s="46">
        <f t="shared" si="94"/>
        <v>0</v>
      </c>
      <c r="CZ12" s="46">
        <f t="shared" si="95"/>
        <v>0</v>
      </c>
      <c r="DA12" s="46">
        <f t="shared" si="96"/>
        <v>0</v>
      </c>
      <c r="DB12" s="46">
        <f t="shared" si="97"/>
        <v>0</v>
      </c>
      <c r="DC12" s="46">
        <f t="shared" si="98"/>
        <v>0</v>
      </c>
      <c r="DD12" s="46">
        <f t="shared" si="99"/>
        <v>0</v>
      </c>
      <c r="DE12" s="46">
        <f t="shared" si="100"/>
        <v>0</v>
      </c>
      <c r="DF12" s="46">
        <f t="shared" si="101"/>
        <v>0</v>
      </c>
      <c r="DG12" s="46">
        <f t="shared" si="102"/>
        <v>0</v>
      </c>
      <c r="DH12" s="47">
        <f t="shared" si="103"/>
        <v>0</v>
      </c>
      <c r="DI12" s="49">
        <f t="shared" si="104"/>
        <v>0</v>
      </c>
      <c r="DJ12" s="50">
        <f t="shared" si="105"/>
        <v>0</v>
      </c>
      <c r="DK12" s="50">
        <f t="shared" si="106"/>
        <v>0</v>
      </c>
      <c r="DL12" s="51">
        <f t="shared" si="107"/>
        <v>0</v>
      </c>
      <c r="DM12" s="51">
        <f t="shared" si="108"/>
        <v>0</v>
      </c>
      <c r="DN12" s="51">
        <f t="shared" si="109"/>
        <v>0</v>
      </c>
      <c r="DO12" s="52">
        <f t="shared" si="110"/>
        <v>0</v>
      </c>
      <c r="DP12" s="52">
        <f t="shared" si="111"/>
        <v>0</v>
      </c>
      <c r="DQ12" s="52">
        <f t="shared" si="112"/>
        <v>0</v>
      </c>
      <c r="DR12" s="53">
        <f t="shared" si="113"/>
        <v>0</v>
      </c>
      <c r="DS12" s="53">
        <f t="shared" si="114"/>
        <v>0</v>
      </c>
      <c r="DT12" s="53">
        <f t="shared" si="115"/>
        <v>0</v>
      </c>
      <c r="DU12" s="54">
        <f t="shared" si="116"/>
        <v>12</v>
      </c>
      <c r="DV12" s="54">
        <f t="shared" si="117"/>
        <v>6</v>
      </c>
      <c r="DW12" s="54">
        <f t="shared" si="118"/>
        <v>0</v>
      </c>
      <c r="DX12" s="55">
        <f t="shared" si="119"/>
        <v>6</v>
      </c>
      <c r="DY12" s="55">
        <f t="shared" si="120"/>
        <v>6</v>
      </c>
      <c r="DZ12" s="55">
        <f t="shared" si="121"/>
        <v>0</v>
      </c>
      <c r="EA12" s="56">
        <f t="shared" si="122"/>
        <v>0</v>
      </c>
      <c r="EB12" s="56">
        <f t="shared" si="123"/>
        <v>0</v>
      </c>
      <c r="EC12" s="56">
        <f t="shared" si="124"/>
        <v>0</v>
      </c>
    </row>
    <row r="13" spans="1:133" s="57" customFormat="1" ht="19.5" x14ac:dyDescent="0.25">
      <c r="A13" s="40"/>
      <c r="B13" s="41">
        <v>55</v>
      </c>
      <c r="C13" s="41">
        <v>16</v>
      </c>
      <c r="D13" s="41">
        <v>12</v>
      </c>
      <c r="E13" s="41"/>
      <c r="F13" s="58" t="s">
        <v>29</v>
      </c>
      <c r="G13" s="60" t="s">
        <v>30</v>
      </c>
      <c r="H13" s="45">
        <f t="shared" si="2"/>
        <v>0</v>
      </c>
      <c r="I13" s="46">
        <f t="shared" si="3"/>
        <v>0</v>
      </c>
      <c r="J13" s="46">
        <f t="shared" si="126"/>
        <v>448</v>
      </c>
      <c r="K13" s="46">
        <f t="shared" si="7"/>
        <v>0</v>
      </c>
      <c r="L13" s="46">
        <f t="shared" si="125"/>
        <v>0</v>
      </c>
      <c r="M13" s="46">
        <f t="shared" si="4"/>
        <v>0</v>
      </c>
      <c r="N13" s="46">
        <f>B13*$N$6</f>
        <v>0</v>
      </c>
      <c r="O13" s="46">
        <f t="shared" si="5"/>
        <v>208</v>
      </c>
      <c r="P13" s="46">
        <f t="shared" si="6"/>
        <v>0</v>
      </c>
      <c r="Q13" s="46">
        <f t="shared" si="8"/>
        <v>0</v>
      </c>
      <c r="R13" s="46">
        <f t="shared" si="9"/>
        <v>0</v>
      </c>
      <c r="S13" s="46">
        <f t="shared" si="10"/>
        <v>0</v>
      </c>
      <c r="T13" s="46">
        <f t="shared" si="11"/>
        <v>0</v>
      </c>
      <c r="U13" s="46">
        <f t="shared" si="12"/>
        <v>0</v>
      </c>
      <c r="V13" s="47">
        <f t="shared" si="13"/>
        <v>0</v>
      </c>
      <c r="W13" s="48">
        <f t="shared" si="14"/>
        <v>0</v>
      </c>
      <c r="X13" s="46">
        <f t="shared" si="15"/>
        <v>0</v>
      </c>
      <c r="Y13" s="46">
        <f t="shared" si="16"/>
        <v>448</v>
      </c>
      <c r="Z13" s="46">
        <f t="shared" si="17"/>
        <v>0</v>
      </c>
      <c r="AA13" s="46">
        <f t="shared" si="18"/>
        <v>0</v>
      </c>
      <c r="AB13" s="46">
        <f t="shared" si="19"/>
        <v>0</v>
      </c>
      <c r="AC13" s="46">
        <f t="shared" si="20"/>
        <v>0</v>
      </c>
      <c r="AD13" s="46">
        <f t="shared" si="21"/>
        <v>416</v>
      </c>
      <c r="AE13" s="46">
        <f t="shared" si="22"/>
        <v>0</v>
      </c>
      <c r="AF13" s="46">
        <f t="shared" si="23"/>
        <v>0</v>
      </c>
      <c r="AG13" s="46">
        <f t="shared" si="24"/>
        <v>0</v>
      </c>
      <c r="AH13" s="46">
        <f t="shared" si="25"/>
        <v>0</v>
      </c>
      <c r="AI13" s="46">
        <f t="shared" si="26"/>
        <v>0</v>
      </c>
      <c r="AJ13" s="46">
        <f t="shared" si="27"/>
        <v>0</v>
      </c>
      <c r="AK13" s="46">
        <f t="shared" si="28"/>
        <v>0</v>
      </c>
      <c r="AL13" s="45">
        <f t="shared" si="29"/>
        <v>0</v>
      </c>
      <c r="AM13" s="46">
        <f t="shared" si="30"/>
        <v>0</v>
      </c>
      <c r="AN13" s="46">
        <f t="shared" si="31"/>
        <v>448</v>
      </c>
      <c r="AO13" s="46">
        <f t="shared" si="32"/>
        <v>0</v>
      </c>
      <c r="AP13" s="46">
        <f t="shared" si="33"/>
        <v>0</v>
      </c>
      <c r="AQ13" s="46">
        <f t="shared" si="34"/>
        <v>0</v>
      </c>
      <c r="AR13" s="46">
        <f t="shared" si="35"/>
        <v>0</v>
      </c>
      <c r="AS13" s="46">
        <f t="shared" si="36"/>
        <v>448</v>
      </c>
      <c r="AT13" s="46">
        <f t="shared" si="37"/>
        <v>0</v>
      </c>
      <c r="AU13" s="46">
        <f t="shared" si="38"/>
        <v>0</v>
      </c>
      <c r="AV13" s="46">
        <f t="shared" si="39"/>
        <v>0</v>
      </c>
      <c r="AW13" s="46">
        <f t="shared" si="40"/>
        <v>0</v>
      </c>
      <c r="AX13" s="46">
        <f t="shared" si="41"/>
        <v>0</v>
      </c>
      <c r="AY13" s="46">
        <f t="shared" si="42"/>
        <v>0</v>
      </c>
      <c r="AZ13" s="47">
        <f t="shared" si="43"/>
        <v>0</v>
      </c>
      <c r="BA13" s="45">
        <f t="shared" si="44"/>
        <v>0</v>
      </c>
      <c r="BB13" s="46">
        <f t="shared" si="45"/>
        <v>0</v>
      </c>
      <c r="BC13" s="46">
        <f t="shared" si="46"/>
        <v>448</v>
      </c>
      <c r="BD13" s="46">
        <f t="shared" si="47"/>
        <v>0</v>
      </c>
      <c r="BE13" s="46">
        <f t="shared" si="48"/>
        <v>0</v>
      </c>
      <c r="BF13" s="46">
        <f t="shared" si="49"/>
        <v>0</v>
      </c>
      <c r="BG13" s="46">
        <f t="shared" si="50"/>
        <v>0</v>
      </c>
      <c r="BH13" s="46">
        <f t="shared" si="51"/>
        <v>432</v>
      </c>
      <c r="BI13" s="46">
        <f t="shared" si="52"/>
        <v>0</v>
      </c>
      <c r="BJ13" s="46">
        <f t="shared" si="53"/>
        <v>0</v>
      </c>
      <c r="BK13" s="46">
        <f t="shared" si="54"/>
        <v>0</v>
      </c>
      <c r="BL13" s="46">
        <f t="shared" si="55"/>
        <v>0</v>
      </c>
      <c r="BM13" s="46">
        <f t="shared" si="56"/>
        <v>0</v>
      </c>
      <c r="BN13" s="46">
        <f t="shared" si="57"/>
        <v>0</v>
      </c>
      <c r="BO13" s="47">
        <f t="shared" si="58"/>
        <v>0</v>
      </c>
      <c r="BP13" s="48">
        <f t="shared" si="59"/>
        <v>0</v>
      </c>
      <c r="BQ13" s="46">
        <f t="shared" si="60"/>
        <v>1540</v>
      </c>
      <c r="BR13" s="46">
        <f t="shared" si="61"/>
        <v>0</v>
      </c>
      <c r="BS13" s="46">
        <f t="shared" si="62"/>
        <v>0</v>
      </c>
      <c r="BT13" s="46">
        <f t="shared" si="63"/>
        <v>0</v>
      </c>
      <c r="BU13" s="46">
        <f t="shared" si="64"/>
        <v>0</v>
      </c>
      <c r="BV13" s="46">
        <f t="shared" si="65"/>
        <v>770</v>
      </c>
      <c r="BW13" s="46">
        <f t="shared" si="66"/>
        <v>224</v>
      </c>
      <c r="BX13" s="46">
        <f t="shared" si="67"/>
        <v>0</v>
      </c>
      <c r="BY13" s="46">
        <f t="shared" si="68"/>
        <v>0</v>
      </c>
      <c r="BZ13" s="46">
        <f t="shared" si="69"/>
        <v>0</v>
      </c>
      <c r="CA13" s="46">
        <f t="shared" si="70"/>
        <v>0</v>
      </c>
      <c r="CB13" s="46">
        <f t="shared" si="71"/>
        <v>0</v>
      </c>
      <c r="CC13" s="46">
        <f t="shared" si="72"/>
        <v>0</v>
      </c>
      <c r="CD13" s="46">
        <f t="shared" si="73"/>
        <v>0</v>
      </c>
      <c r="CE13" s="45">
        <f t="shared" si="74"/>
        <v>0</v>
      </c>
      <c r="CF13" s="46">
        <f t="shared" si="75"/>
        <v>770</v>
      </c>
      <c r="CG13" s="46">
        <f t="shared" si="76"/>
        <v>224</v>
      </c>
      <c r="CH13" s="46">
        <f t="shared" si="77"/>
        <v>0</v>
      </c>
      <c r="CI13" s="46">
        <f t="shared" si="78"/>
        <v>0</v>
      </c>
      <c r="CJ13" s="46">
        <f t="shared" si="79"/>
        <v>0</v>
      </c>
      <c r="CK13" s="46">
        <f t="shared" si="80"/>
        <v>715</v>
      </c>
      <c r="CL13" s="46">
        <f t="shared" si="81"/>
        <v>208</v>
      </c>
      <c r="CM13" s="46">
        <f t="shared" si="82"/>
        <v>0</v>
      </c>
      <c r="CN13" s="46">
        <f t="shared" si="83"/>
        <v>0</v>
      </c>
      <c r="CO13" s="46">
        <f t="shared" si="84"/>
        <v>0</v>
      </c>
      <c r="CP13" s="46">
        <f t="shared" si="85"/>
        <v>0</v>
      </c>
      <c r="CQ13" s="46">
        <f t="shared" si="86"/>
        <v>0</v>
      </c>
      <c r="CR13" s="46">
        <f t="shared" si="87"/>
        <v>0</v>
      </c>
      <c r="CS13" s="46">
        <f t="shared" si="88"/>
        <v>0</v>
      </c>
      <c r="CT13" s="45">
        <f t="shared" si="89"/>
        <v>0</v>
      </c>
      <c r="CU13" s="46">
        <f t="shared" si="90"/>
        <v>0</v>
      </c>
      <c r="CV13" s="46">
        <f t="shared" si="91"/>
        <v>0</v>
      </c>
      <c r="CW13" s="46">
        <f t="shared" si="92"/>
        <v>0</v>
      </c>
      <c r="CX13" s="46">
        <f t="shared" si="93"/>
        <v>0</v>
      </c>
      <c r="CY13" s="46">
        <f t="shared" si="94"/>
        <v>0</v>
      </c>
      <c r="CZ13" s="46">
        <f t="shared" si="95"/>
        <v>0</v>
      </c>
      <c r="DA13" s="46">
        <f t="shared" si="96"/>
        <v>0</v>
      </c>
      <c r="DB13" s="46">
        <f t="shared" si="97"/>
        <v>0</v>
      </c>
      <c r="DC13" s="46">
        <f t="shared" si="98"/>
        <v>0</v>
      </c>
      <c r="DD13" s="46">
        <f t="shared" si="99"/>
        <v>0</v>
      </c>
      <c r="DE13" s="46">
        <f t="shared" si="100"/>
        <v>0</v>
      </c>
      <c r="DF13" s="46">
        <f t="shared" si="101"/>
        <v>0</v>
      </c>
      <c r="DG13" s="46">
        <f t="shared" si="102"/>
        <v>0</v>
      </c>
      <c r="DH13" s="47">
        <f t="shared" si="103"/>
        <v>0</v>
      </c>
      <c r="DI13" s="49">
        <f t="shared" si="104"/>
        <v>448</v>
      </c>
      <c r="DJ13" s="50">
        <f t="shared" si="105"/>
        <v>208</v>
      </c>
      <c r="DK13" s="50">
        <f t="shared" si="106"/>
        <v>0</v>
      </c>
      <c r="DL13" s="51">
        <f t="shared" si="107"/>
        <v>448</v>
      </c>
      <c r="DM13" s="51">
        <f t="shared" si="108"/>
        <v>416</v>
      </c>
      <c r="DN13" s="51">
        <f t="shared" si="109"/>
        <v>0</v>
      </c>
      <c r="DO13" s="52">
        <f t="shared" si="110"/>
        <v>448</v>
      </c>
      <c r="DP13" s="52">
        <f t="shared" si="111"/>
        <v>448</v>
      </c>
      <c r="DQ13" s="52">
        <f t="shared" si="112"/>
        <v>0</v>
      </c>
      <c r="DR13" s="53">
        <f t="shared" si="113"/>
        <v>448</v>
      </c>
      <c r="DS13" s="53">
        <f t="shared" si="114"/>
        <v>432</v>
      </c>
      <c r="DT13" s="53">
        <f t="shared" si="115"/>
        <v>0</v>
      </c>
      <c r="DU13" s="54">
        <f t="shared" si="116"/>
        <v>1540</v>
      </c>
      <c r="DV13" s="54">
        <f t="shared" si="117"/>
        <v>994</v>
      </c>
      <c r="DW13" s="54">
        <f t="shared" si="118"/>
        <v>0</v>
      </c>
      <c r="DX13" s="55">
        <f t="shared" si="119"/>
        <v>994</v>
      </c>
      <c r="DY13" s="55">
        <f t="shared" si="120"/>
        <v>923</v>
      </c>
      <c r="DZ13" s="55">
        <f t="shared" si="121"/>
        <v>0</v>
      </c>
      <c r="EA13" s="56">
        <f t="shared" si="122"/>
        <v>0</v>
      </c>
      <c r="EB13" s="56">
        <f t="shared" si="123"/>
        <v>0</v>
      </c>
      <c r="EC13" s="56">
        <f t="shared" si="124"/>
        <v>0</v>
      </c>
    </row>
    <row r="14" spans="1:133" s="57" customFormat="1" ht="19.5" x14ac:dyDescent="0.25">
      <c r="A14" s="40"/>
      <c r="B14" s="41"/>
      <c r="C14" s="41">
        <v>16</v>
      </c>
      <c r="D14" s="41">
        <v>12</v>
      </c>
      <c r="E14" s="41"/>
      <c r="F14" s="58" t="s">
        <v>31</v>
      </c>
      <c r="G14" s="60" t="s">
        <v>32</v>
      </c>
      <c r="H14" s="45">
        <f t="shared" si="2"/>
        <v>0</v>
      </c>
      <c r="I14" s="46">
        <f t="shared" si="3"/>
        <v>0</v>
      </c>
      <c r="J14" s="46">
        <f>C14*$J$6</f>
        <v>448</v>
      </c>
      <c r="K14" s="46">
        <f t="shared" si="7"/>
        <v>0</v>
      </c>
      <c r="L14" s="46">
        <f t="shared" si="125"/>
        <v>0</v>
      </c>
      <c r="M14" s="46">
        <f t="shared" si="4"/>
        <v>0</v>
      </c>
      <c r="N14" s="46">
        <f t="shared" ref="N14:N19" si="127">A14*$N$6</f>
        <v>0</v>
      </c>
      <c r="O14" s="46">
        <f t="shared" si="5"/>
        <v>208</v>
      </c>
      <c r="P14" s="46">
        <f t="shared" si="6"/>
        <v>0</v>
      </c>
      <c r="Q14" s="46">
        <f t="shared" si="8"/>
        <v>0</v>
      </c>
      <c r="R14" s="46">
        <f t="shared" si="9"/>
        <v>0</v>
      </c>
      <c r="S14" s="46">
        <f t="shared" si="10"/>
        <v>0</v>
      </c>
      <c r="T14" s="46">
        <f t="shared" si="11"/>
        <v>0</v>
      </c>
      <c r="U14" s="46">
        <f t="shared" si="12"/>
        <v>0</v>
      </c>
      <c r="V14" s="47">
        <f t="shared" si="13"/>
        <v>0</v>
      </c>
      <c r="W14" s="48">
        <f t="shared" si="14"/>
        <v>0</v>
      </c>
      <c r="X14" s="46">
        <f t="shared" si="15"/>
        <v>0</v>
      </c>
      <c r="Y14" s="46">
        <f t="shared" si="16"/>
        <v>448</v>
      </c>
      <c r="Z14" s="46">
        <f t="shared" si="17"/>
        <v>0</v>
      </c>
      <c r="AA14" s="46">
        <f t="shared" si="18"/>
        <v>0</v>
      </c>
      <c r="AB14" s="46">
        <f t="shared" si="19"/>
        <v>0</v>
      </c>
      <c r="AC14" s="46">
        <f t="shared" si="20"/>
        <v>0</v>
      </c>
      <c r="AD14" s="46">
        <f t="shared" si="21"/>
        <v>416</v>
      </c>
      <c r="AE14" s="46">
        <f t="shared" si="22"/>
        <v>0</v>
      </c>
      <c r="AF14" s="46">
        <f t="shared" si="23"/>
        <v>0</v>
      </c>
      <c r="AG14" s="46">
        <f t="shared" si="24"/>
        <v>0</v>
      </c>
      <c r="AH14" s="46">
        <f t="shared" si="25"/>
        <v>0</v>
      </c>
      <c r="AI14" s="46">
        <f t="shared" si="26"/>
        <v>0</v>
      </c>
      <c r="AJ14" s="46">
        <f t="shared" si="27"/>
        <v>0</v>
      </c>
      <c r="AK14" s="46">
        <f t="shared" si="28"/>
        <v>0</v>
      </c>
      <c r="AL14" s="45">
        <f t="shared" si="29"/>
        <v>0</v>
      </c>
      <c r="AM14" s="46">
        <f t="shared" si="30"/>
        <v>0</v>
      </c>
      <c r="AN14" s="46">
        <f t="shared" si="31"/>
        <v>448</v>
      </c>
      <c r="AO14" s="46">
        <f t="shared" si="32"/>
        <v>0</v>
      </c>
      <c r="AP14" s="46">
        <f t="shared" si="33"/>
        <v>0</v>
      </c>
      <c r="AQ14" s="46">
        <f t="shared" si="34"/>
        <v>0</v>
      </c>
      <c r="AR14" s="46">
        <f t="shared" si="35"/>
        <v>0</v>
      </c>
      <c r="AS14" s="46">
        <f t="shared" si="36"/>
        <v>448</v>
      </c>
      <c r="AT14" s="46">
        <f t="shared" si="37"/>
        <v>0</v>
      </c>
      <c r="AU14" s="46">
        <f t="shared" si="38"/>
        <v>0</v>
      </c>
      <c r="AV14" s="46">
        <f t="shared" si="39"/>
        <v>0</v>
      </c>
      <c r="AW14" s="46">
        <f t="shared" si="40"/>
        <v>0</v>
      </c>
      <c r="AX14" s="46">
        <f t="shared" si="41"/>
        <v>0</v>
      </c>
      <c r="AY14" s="46">
        <f t="shared" si="42"/>
        <v>0</v>
      </c>
      <c r="AZ14" s="47">
        <f t="shared" si="43"/>
        <v>0</v>
      </c>
      <c r="BA14" s="45">
        <f t="shared" si="44"/>
        <v>0</v>
      </c>
      <c r="BB14" s="46">
        <f t="shared" si="45"/>
        <v>0</v>
      </c>
      <c r="BC14" s="46">
        <f t="shared" si="46"/>
        <v>448</v>
      </c>
      <c r="BD14" s="46">
        <f t="shared" si="47"/>
        <v>0</v>
      </c>
      <c r="BE14" s="46">
        <f t="shared" si="48"/>
        <v>0</v>
      </c>
      <c r="BF14" s="46">
        <f t="shared" si="49"/>
        <v>0</v>
      </c>
      <c r="BG14" s="46">
        <f t="shared" si="50"/>
        <v>0</v>
      </c>
      <c r="BH14" s="46">
        <f t="shared" si="51"/>
        <v>432</v>
      </c>
      <c r="BI14" s="46">
        <f t="shared" si="52"/>
        <v>0</v>
      </c>
      <c r="BJ14" s="46">
        <f t="shared" si="53"/>
        <v>0</v>
      </c>
      <c r="BK14" s="46">
        <f t="shared" si="54"/>
        <v>0</v>
      </c>
      <c r="BL14" s="46">
        <f t="shared" si="55"/>
        <v>0</v>
      </c>
      <c r="BM14" s="46">
        <f t="shared" si="56"/>
        <v>0</v>
      </c>
      <c r="BN14" s="46">
        <f t="shared" si="57"/>
        <v>0</v>
      </c>
      <c r="BO14" s="47">
        <f t="shared" si="58"/>
        <v>0</v>
      </c>
      <c r="BP14" s="48">
        <f t="shared" si="59"/>
        <v>0</v>
      </c>
      <c r="BQ14" s="46">
        <f t="shared" si="60"/>
        <v>0</v>
      </c>
      <c r="BR14" s="46">
        <f t="shared" si="61"/>
        <v>0</v>
      </c>
      <c r="BS14" s="46">
        <f t="shared" si="62"/>
        <v>0</v>
      </c>
      <c r="BT14" s="46">
        <f t="shared" si="63"/>
        <v>0</v>
      </c>
      <c r="BU14" s="46">
        <f t="shared" si="64"/>
        <v>0</v>
      </c>
      <c r="BV14" s="46">
        <f t="shared" si="65"/>
        <v>0</v>
      </c>
      <c r="BW14" s="46">
        <f t="shared" si="66"/>
        <v>224</v>
      </c>
      <c r="BX14" s="46">
        <f t="shared" si="67"/>
        <v>0</v>
      </c>
      <c r="BY14" s="46">
        <f t="shared" si="68"/>
        <v>0</v>
      </c>
      <c r="BZ14" s="46">
        <f t="shared" si="69"/>
        <v>0</v>
      </c>
      <c r="CA14" s="46">
        <f t="shared" si="70"/>
        <v>0</v>
      </c>
      <c r="CB14" s="46">
        <f t="shared" si="71"/>
        <v>0</v>
      </c>
      <c r="CC14" s="46">
        <f t="shared" si="72"/>
        <v>0</v>
      </c>
      <c r="CD14" s="46">
        <f t="shared" si="73"/>
        <v>0</v>
      </c>
      <c r="CE14" s="45">
        <f t="shared" si="74"/>
        <v>0</v>
      </c>
      <c r="CF14" s="46">
        <f t="shared" si="75"/>
        <v>0</v>
      </c>
      <c r="CG14" s="46">
        <f t="shared" si="76"/>
        <v>224</v>
      </c>
      <c r="CH14" s="46">
        <f t="shared" si="77"/>
        <v>0</v>
      </c>
      <c r="CI14" s="46">
        <f t="shared" si="78"/>
        <v>0</v>
      </c>
      <c r="CJ14" s="46">
        <f t="shared" si="79"/>
        <v>0</v>
      </c>
      <c r="CK14" s="46">
        <f t="shared" si="80"/>
        <v>0</v>
      </c>
      <c r="CL14" s="46">
        <f t="shared" si="81"/>
        <v>208</v>
      </c>
      <c r="CM14" s="46">
        <f t="shared" si="82"/>
        <v>0</v>
      </c>
      <c r="CN14" s="46">
        <f t="shared" si="83"/>
        <v>0</v>
      </c>
      <c r="CO14" s="46">
        <f t="shared" si="84"/>
        <v>0</v>
      </c>
      <c r="CP14" s="46">
        <f t="shared" si="85"/>
        <v>0</v>
      </c>
      <c r="CQ14" s="46">
        <f t="shared" si="86"/>
        <v>0</v>
      </c>
      <c r="CR14" s="46">
        <f t="shared" si="87"/>
        <v>0</v>
      </c>
      <c r="CS14" s="46">
        <f t="shared" si="88"/>
        <v>0</v>
      </c>
      <c r="CT14" s="45">
        <f t="shared" si="89"/>
        <v>0</v>
      </c>
      <c r="CU14" s="46">
        <f t="shared" si="90"/>
        <v>0</v>
      </c>
      <c r="CV14" s="46">
        <f t="shared" si="91"/>
        <v>0</v>
      </c>
      <c r="CW14" s="46">
        <f t="shared" si="92"/>
        <v>0</v>
      </c>
      <c r="CX14" s="46">
        <f t="shared" si="93"/>
        <v>0</v>
      </c>
      <c r="CY14" s="46">
        <f t="shared" si="94"/>
        <v>0</v>
      </c>
      <c r="CZ14" s="46">
        <f t="shared" si="95"/>
        <v>0</v>
      </c>
      <c r="DA14" s="46">
        <f t="shared" si="96"/>
        <v>0</v>
      </c>
      <c r="DB14" s="46">
        <f t="shared" si="97"/>
        <v>0</v>
      </c>
      <c r="DC14" s="46">
        <f t="shared" si="98"/>
        <v>0</v>
      </c>
      <c r="DD14" s="46">
        <f t="shared" si="99"/>
        <v>0</v>
      </c>
      <c r="DE14" s="46">
        <f t="shared" si="100"/>
        <v>0</v>
      </c>
      <c r="DF14" s="46">
        <f t="shared" si="101"/>
        <v>0</v>
      </c>
      <c r="DG14" s="46">
        <f t="shared" si="102"/>
        <v>0</v>
      </c>
      <c r="DH14" s="47">
        <f t="shared" si="103"/>
        <v>0</v>
      </c>
      <c r="DI14" s="49">
        <f t="shared" si="104"/>
        <v>448</v>
      </c>
      <c r="DJ14" s="50">
        <f t="shared" si="105"/>
        <v>208</v>
      </c>
      <c r="DK14" s="50">
        <f t="shared" si="106"/>
        <v>0</v>
      </c>
      <c r="DL14" s="51">
        <f t="shared" si="107"/>
        <v>448</v>
      </c>
      <c r="DM14" s="51">
        <f t="shared" si="108"/>
        <v>416</v>
      </c>
      <c r="DN14" s="51">
        <f t="shared" si="109"/>
        <v>0</v>
      </c>
      <c r="DO14" s="52">
        <f t="shared" si="110"/>
        <v>448</v>
      </c>
      <c r="DP14" s="52">
        <f t="shared" si="111"/>
        <v>448</v>
      </c>
      <c r="DQ14" s="52">
        <f t="shared" si="112"/>
        <v>0</v>
      </c>
      <c r="DR14" s="53">
        <f t="shared" si="113"/>
        <v>448</v>
      </c>
      <c r="DS14" s="53">
        <f t="shared" si="114"/>
        <v>432</v>
      </c>
      <c r="DT14" s="53">
        <f t="shared" si="115"/>
        <v>0</v>
      </c>
      <c r="DU14" s="54">
        <f t="shared" si="116"/>
        <v>0</v>
      </c>
      <c r="DV14" s="54">
        <f t="shared" si="117"/>
        <v>224</v>
      </c>
      <c r="DW14" s="54">
        <f t="shared" si="118"/>
        <v>0</v>
      </c>
      <c r="DX14" s="55">
        <f t="shared" si="119"/>
        <v>224</v>
      </c>
      <c r="DY14" s="55">
        <f t="shared" si="120"/>
        <v>208</v>
      </c>
      <c r="DZ14" s="55">
        <f t="shared" si="121"/>
        <v>0</v>
      </c>
      <c r="EA14" s="56">
        <f t="shared" si="122"/>
        <v>0</v>
      </c>
      <c r="EB14" s="56">
        <f t="shared" si="123"/>
        <v>0</v>
      </c>
      <c r="EC14" s="56">
        <f t="shared" si="124"/>
        <v>0</v>
      </c>
    </row>
    <row r="15" spans="1:133" s="57" customFormat="1" ht="19.5" x14ac:dyDescent="0.25">
      <c r="A15" s="40"/>
      <c r="B15" s="41"/>
      <c r="C15" s="41">
        <v>16</v>
      </c>
      <c r="D15" s="41">
        <v>12</v>
      </c>
      <c r="E15" s="41"/>
      <c r="F15" s="58" t="s">
        <v>33</v>
      </c>
      <c r="G15" s="60" t="s">
        <v>34</v>
      </c>
      <c r="H15" s="45">
        <f t="shared" si="2"/>
        <v>0</v>
      </c>
      <c r="I15" s="46">
        <f t="shared" si="3"/>
        <v>0</v>
      </c>
      <c r="J15" s="46">
        <f t="shared" ref="J15:J16" si="128">C15*$J$6</f>
        <v>448</v>
      </c>
      <c r="K15" s="46">
        <f t="shared" si="7"/>
        <v>0</v>
      </c>
      <c r="L15" s="46">
        <f t="shared" si="125"/>
        <v>0</v>
      </c>
      <c r="M15" s="46">
        <f t="shared" si="4"/>
        <v>0</v>
      </c>
      <c r="N15" s="46">
        <f t="shared" si="127"/>
        <v>0</v>
      </c>
      <c r="O15" s="46">
        <f t="shared" si="5"/>
        <v>208</v>
      </c>
      <c r="P15" s="46">
        <f t="shared" si="6"/>
        <v>0</v>
      </c>
      <c r="Q15" s="46">
        <f t="shared" si="8"/>
        <v>0</v>
      </c>
      <c r="R15" s="46">
        <f t="shared" si="9"/>
        <v>0</v>
      </c>
      <c r="S15" s="46">
        <f t="shared" si="10"/>
        <v>0</v>
      </c>
      <c r="T15" s="46">
        <f t="shared" si="11"/>
        <v>0</v>
      </c>
      <c r="U15" s="46">
        <f t="shared" si="12"/>
        <v>0</v>
      </c>
      <c r="V15" s="47">
        <f t="shared" si="13"/>
        <v>0</v>
      </c>
      <c r="W15" s="48">
        <f t="shared" si="14"/>
        <v>0</v>
      </c>
      <c r="X15" s="46">
        <f t="shared" si="15"/>
        <v>0</v>
      </c>
      <c r="Y15" s="46">
        <f t="shared" si="16"/>
        <v>448</v>
      </c>
      <c r="Z15" s="46">
        <f t="shared" si="17"/>
        <v>0</v>
      </c>
      <c r="AA15" s="46">
        <f t="shared" si="18"/>
        <v>0</v>
      </c>
      <c r="AB15" s="46">
        <f t="shared" si="19"/>
        <v>0</v>
      </c>
      <c r="AC15" s="46">
        <f t="shared" si="20"/>
        <v>0</v>
      </c>
      <c r="AD15" s="46">
        <f t="shared" si="21"/>
        <v>416</v>
      </c>
      <c r="AE15" s="46">
        <f t="shared" si="22"/>
        <v>0</v>
      </c>
      <c r="AF15" s="46">
        <f t="shared" si="23"/>
        <v>0</v>
      </c>
      <c r="AG15" s="46">
        <f t="shared" si="24"/>
        <v>0</v>
      </c>
      <c r="AH15" s="46">
        <f t="shared" si="25"/>
        <v>0</v>
      </c>
      <c r="AI15" s="46">
        <f t="shared" si="26"/>
        <v>0</v>
      </c>
      <c r="AJ15" s="46">
        <f t="shared" si="27"/>
        <v>0</v>
      </c>
      <c r="AK15" s="46">
        <f t="shared" si="28"/>
        <v>0</v>
      </c>
      <c r="AL15" s="45">
        <f t="shared" si="29"/>
        <v>0</v>
      </c>
      <c r="AM15" s="46">
        <f t="shared" si="30"/>
        <v>0</v>
      </c>
      <c r="AN15" s="46">
        <f t="shared" si="31"/>
        <v>448</v>
      </c>
      <c r="AO15" s="46">
        <f t="shared" si="32"/>
        <v>0</v>
      </c>
      <c r="AP15" s="46">
        <f t="shared" si="33"/>
        <v>0</v>
      </c>
      <c r="AQ15" s="46">
        <f t="shared" si="34"/>
        <v>0</v>
      </c>
      <c r="AR15" s="46">
        <f t="shared" si="35"/>
        <v>0</v>
      </c>
      <c r="AS15" s="46">
        <f t="shared" si="36"/>
        <v>448</v>
      </c>
      <c r="AT15" s="46">
        <f t="shared" si="37"/>
        <v>0</v>
      </c>
      <c r="AU15" s="46">
        <f t="shared" si="38"/>
        <v>0</v>
      </c>
      <c r="AV15" s="46">
        <f t="shared" si="39"/>
        <v>0</v>
      </c>
      <c r="AW15" s="46">
        <f t="shared" si="40"/>
        <v>0</v>
      </c>
      <c r="AX15" s="46">
        <f t="shared" si="41"/>
        <v>0</v>
      </c>
      <c r="AY15" s="46">
        <f t="shared" si="42"/>
        <v>0</v>
      </c>
      <c r="AZ15" s="47">
        <f t="shared" si="43"/>
        <v>0</v>
      </c>
      <c r="BA15" s="45">
        <f t="shared" si="44"/>
        <v>0</v>
      </c>
      <c r="BB15" s="46">
        <f t="shared" si="45"/>
        <v>0</v>
      </c>
      <c r="BC15" s="46">
        <f t="shared" si="46"/>
        <v>448</v>
      </c>
      <c r="BD15" s="46">
        <f t="shared" si="47"/>
        <v>0</v>
      </c>
      <c r="BE15" s="46">
        <f t="shared" si="48"/>
        <v>0</v>
      </c>
      <c r="BF15" s="46">
        <f t="shared" si="49"/>
        <v>0</v>
      </c>
      <c r="BG15" s="46">
        <f t="shared" si="50"/>
        <v>0</v>
      </c>
      <c r="BH15" s="46">
        <f t="shared" si="51"/>
        <v>432</v>
      </c>
      <c r="BI15" s="46">
        <f t="shared" si="52"/>
        <v>0</v>
      </c>
      <c r="BJ15" s="46">
        <f t="shared" si="53"/>
        <v>0</v>
      </c>
      <c r="BK15" s="46">
        <f t="shared" si="54"/>
        <v>0</v>
      </c>
      <c r="BL15" s="46">
        <f t="shared" si="55"/>
        <v>0</v>
      </c>
      <c r="BM15" s="46">
        <f t="shared" si="56"/>
        <v>0</v>
      </c>
      <c r="BN15" s="46">
        <f t="shared" si="57"/>
        <v>0</v>
      </c>
      <c r="BO15" s="47">
        <f t="shared" si="58"/>
        <v>0</v>
      </c>
      <c r="BP15" s="48">
        <f t="shared" si="59"/>
        <v>0</v>
      </c>
      <c r="BQ15" s="46">
        <f t="shared" si="60"/>
        <v>0</v>
      </c>
      <c r="BR15" s="46">
        <f t="shared" si="61"/>
        <v>0</v>
      </c>
      <c r="BS15" s="46">
        <f t="shared" si="62"/>
        <v>0</v>
      </c>
      <c r="BT15" s="46">
        <f t="shared" si="63"/>
        <v>0</v>
      </c>
      <c r="BU15" s="46">
        <f t="shared" si="64"/>
        <v>0</v>
      </c>
      <c r="BV15" s="46">
        <f t="shared" si="65"/>
        <v>0</v>
      </c>
      <c r="BW15" s="46">
        <f t="shared" si="66"/>
        <v>224</v>
      </c>
      <c r="BX15" s="46">
        <f t="shared" si="67"/>
        <v>0</v>
      </c>
      <c r="BY15" s="46">
        <f t="shared" si="68"/>
        <v>0</v>
      </c>
      <c r="BZ15" s="46">
        <f t="shared" si="69"/>
        <v>0</v>
      </c>
      <c r="CA15" s="46">
        <f t="shared" si="70"/>
        <v>0</v>
      </c>
      <c r="CB15" s="46">
        <f t="shared" si="71"/>
        <v>0</v>
      </c>
      <c r="CC15" s="46">
        <f t="shared" si="72"/>
        <v>0</v>
      </c>
      <c r="CD15" s="46">
        <f t="shared" si="73"/>
        <v>0</v>
      </c>
      <c r="CE15" s="45">
        <f t="shared" si="74"/>
        <v>0</v>
      </c>
      <c r="CF15" s="46">
        <f t="shared" si="75"/>
        <v>0</v>
      </c>
      <c r="CG15" s="46">
        <f t="shared" si="76"/>
        <v>224</v>
      </c>
      <c r="CH15" s="46">
        <f t="shared" si="77"/>
        <v>0</v>
      </c>
      <c r="CI15" s="46">
        <f t="shared" si="78"/>
        <v>0</v>
      </c>
      <c r="CJ15" s="46">
        <f t="shared" si="79"/>
        <v>0</v>
      </c>
      <c r="CK15" s="46">
        <f t="shared" si="80"/>
        <v>0</v>
      </c>
      <c r="CL15" s="46">
        <f t="shared" si="81"/>
        <v>208</v>
      </c>
      <c r="CM15" s="46">
        <f t="shared" si="82"/>
        <v>0</v>
      </c>
      <c r="CN15" s="46">
        <f t="shared" si="83"/>
        <v>0</v>
      </c>
      <c r="CO15" s="46">
        <f t="shared" si="84"/>
        <v>0</v>
      </c>
      <c r="CP15" s="46">
        <f t="shared" si="85"/>
        <v>0</v>
      </c>
      <c r="CQ15" s="46">
        <f t="shared" si="86"/>
        <v>0</v>
      </c>
      <c r="CR15" s="46">
        <f t="shared" si="87"/>
        <v>0</v>
      </c>
      <c r="CS15" s="46">
        <f t="shared" si="88"/>
        <v>0</v>
      </c>
      <c r="CT15" s="45">
        <f t="shared" si="89"/>
        <v>0</v>
      </c>
      <c r="CU15" s="46">
        <f t="shared" si="90"/>
        <v>0</v>
      </c>
      <c r="CV15" s="46">
        <f t="shared" si="91"/>
        <v>0</v>
      </c>
      <c r="CW15" s="46">
        <f t="shared" si="92"/>
        <v>0</v>
      </c>
      <c r="CX15" s="46">
        <f t="shared" si="93"/>
        <v>0</v>
      </c>
      <c r="CY15" s="46">
        <f t="shared" si="94"/>
        <v>0</v>
      </c>
      <c r="CZ15" s="46">
        <f t="shared" si="95"/>
        <v>0</v>
      </c>
      <c r="DA15" s="46">
        <f t="shared" si="96"/>
        <v>0</v>
      </c>
      <c r="DB15" s="46">
        <f t="shared" si="97"/>
        <v>0</v>
      </c>
      <c r="DC15" s="46">
        <f t="shared" si="98"/>
        <v>0</v>
      </c>
      <c r="DD15" s="46">
        <f t="shared" si="99"/>
        <v>0</v>
      </c>
      <c r="DE15" s="46">
        <f t="shared" si="100"/>
        <v>0</v>
      </c>
      <c r="DF15" s="46">
        <f t="shared" si="101"/>
        <v>0</v>
      </c>
      <c r="DG15" s="46">
        <f t="shared" si="102"/>
        <v>0</v>
      </c>
      <c r="DH15" s="47">
        <f t="shared" si="103"/>
        <v>0</v>
      </c>
      <c r="DI15" s="49">
        <f t="shared" si="104"/>
        <v>448</v>
      </c>
      <c r="DJ15" s="50">
        <f t="shared" si="105"/>
        <v>208</v>
      </c>
      <c r="DK15" s="50">
        <f t="shared" si="106"/>
        <v>0</v>
      </c>
      <c r="DL15" s="51">
        <f t="shared" si="107"/>
        <v>448</v>
      </c>
      <c r="DM15" s="51">
        <f t="shared" si="108"/>
        <v>416</v>
      </c>
      <c r="DN15" s="51">
        <f t="shared" si="109"/>
        <v>0</v>
      </c>
      <c r="DO15" s="52">
        <f t="shared" si="110"/>
        <v>448</v>
      </c>
      <c r="DP15" s="52">
        <f t="shared" si="111"/>
        <v>448</v>
      </c>
      <c r="DQ15" s="52">
        <f t="shared" si="112"/>
        <v>0</v>
      </c>
      <c r="DR15" s="53">
        <f t="shared" si="113"/>
        <v>448</v>
      </c>
      <c r="DS15" s="53">
        <f t="shared" si="114"/>
        <v>432</v>
      </c>
      <c r="DT15" s="53">
        <f t="shared" si="115"/>
        <v>0</v>
      </c>
      <c r="DU15" s="54">
        <f t="shared" si="116"/>
        <v>0</v>
      </c>
      <c r="DV15" s="54">
        <f t="shared" si="117"/>
        <v>224</v>
      </c>
      <c r="DW15" s="54">
        <f t="shared" si="118"/>
        <v>0</v>
      </c>
      <c r="DX15" s="55">
        <f t="shared" si="119"/>
        <v>224</v>
      </c>
      <c r="DY15" s="55">
        <f t="shared" si="120"/>
        <v>208</v>
      </c>
      <c r="DZ15" s="55">
        <f t="shared" si="121"/>
        <v>0</v>
      </c>
      <c r="EA15" s="56">
        <f t="shared" si="122"/>
        <v>0</v>
      </c>
      <c r="EB15" s="56">
        <f t="shared" si="123"/>
        <v>0</v>
      </c>
      <c r="EC15" s="56">
        <f t="shared" si="124"/>
        <v>0</v>
      </c>
    </row>
    <row r="16" spans="1:133" s="57" customFormat="1" ht="19.5" x14ac:dyDescent="0.25">
      <c r="A16" s="40"/>
      <c r="B16" s="41"/>
      <c r="C16" s="41">
        <v>16</v>
      </c>
      <c r="D16" s="41">
        <v>12</v>
      </c>
      <c r="E16" s="41"/>
      <c r="F16" s="62"/>
      <c r="G16" s="63" t="s">
        <v>35</v>
      </c>
      <c r="H16" s="45">
        <f t="shared" si="2"/>
        <v>0</v>
      </c>
      <c r="I16" s="46">
        <f t="shared" si="3"/>
        <v>0</v>
      </c>
      <c r="J16" s="46">
        <f t="shared" si="128"/>
        <v>448</v>
      </c>
      <c r="K16" s="46">
        <f t="shared" si="7"/>
        <v>0</v>
      </c>
      <c r="L16" s="46">
        <f t="shared" si="125"/>
        <v>0</v>
      </c>
      <c r="M16" s="46">
        <f t="shared" si="4"/>
        <v>0</v>
      </c>
      <c r="N16" s="46">
        <f t="shared" si="127"/>
        <v>0</v>
      </c>
      <c r="O16" s="46">
        <f t="shared" si="5"/>
        <v>208</v>
      </c>
      <c r="P16" s="46">
        <f t="shared" si="6"/>
        <v>0</v>
      </c>
      <c r="Q16" s="46">
        <f t="shared" si="8"/>
        <v>0</v>
      </c>
      <c r="R16" s="46">
        <f t="shared" si="9"/>
        <v>0</v>
      </c>
      <c r="S16" s="46">
        <f t="shared" si="10"/>
        <v>0</v>
      </c>
      <c r="T16" s="46">
        <f t="shared" si="11"/>
        <v>0</v>
      </c>
      <c r="U16" s="46">
        <f t="shared" si="12"/>
        <v>0</v>
      </c>
      <c r="V16" s="47">
        <f t="shared" si="13"/>
        <v>0</v>
      </c>
      <c r="W16" s="48">
        <f t="shared" si="14"/>
        <v>0</v>
      </c>
      <c r="X16" s="46">
        <f t="shared" si="15"/>
        <v>0</v>
      </c>
      <c r="Y16" s="46">
        <f t="shared" si="16"/>
        <v>448</v>
      </c>
      <c r="Z16" s="46">
        <f t="shared" si="17"/>
        <v>0</v>
      </c>
      <c r="AA16" s="46">
        <f t="shared" si="18"/>
        <v>0</v>
      </c>
      <c r="AB16" s="46">
        <f t="shared" si="19"/>
        <v>0</v>
      </c>
      <c r="AC16" s="46">
        <f t="shared" si="20"/>
        <v>0</v>
      </c>
      <c r="AD16" s="46">
        <f t="shared" si="21"/>
        <v>416</v>
      </c>
      <c r="AE16" s="46">
        <f t="shared" si="22"/>
        <v>0</v>
      </c>
      <c r="AF16" s="46">
        <f t="shared" si="23"/>
        <v>0</v>
      </c>
      <c r="AG16" s="46">
        <f t="shared" si="24"/>
        <v>0</v>
      </c>
      <c r="AH16" s="46">
        <f t="shared" si="25"/>
        <v>0</v>
      </c>
      <c r="AI16" s="46">
        <f t="shared" si="26"/>
        <v>0</v>
      </c>
      <c r="AJ16" s="46">
        <f t="shared" si="27"/>
        <v>0</v>
      </c>
      <c r="AK16" s="46">
        <f t="shared" si="28"/>
        <v>0</v>
      </c>
      <c r="AL16" s="45">
        <f t="shared" si="29"/>
        <v>0</v>
      </c>
      <c r="AM16" s="46">
        <f t="shared" si="30"/>
        <v>0</v>
      </c>
      <c r="AN16" s="46">
        <f t="shared" si="31"/>
        <v>448</v>
      </c>
      <c r="AO16" s="46">
        <f t="shared" si="32"/>
        <v>0</v>
      </c>
      <c r="AP16" s="46">
        <f t="shared" si="33"/>
        <v>0</v>
      </c>
      <c r="AQ16" s="46">
        <f t="shared" si="34"/>
        <v>0</v>
      </c>
      <c r="AR16" s="46">
        <f t="shared" si="35"/>
        <v>0</v>
      </c>
      <c r="AS16" s="46">
        <f t="shared" si="36"/>
        <v>448</v>
      </c>
      <c r="AT16" s="46">
        <f t="shared" si="37"/>
        <v>0</v>
      </c>
      <c r="AU16" s="46">
        <f t="shared" si="38"/>
        <v>0</v>
      </c>
      <c r="AV16" s="46">
        <f t="shared" si="39"/>
        <v>0</v>
      </c>
      <c r="AW16" s="46">
        <f t="shared" si="40"/>
        <v>0</v>
      </c>
      <c r="AX16" s="46">
        <f t="shared" si="41"/>
        <v>0</v>
      </c>
      <c r="AY16" s="46">
        <f t="shared" si="42"/>
        <v>0</v>
      </c>
      <c r="AZ16" s="47">
        <f t="shared" si="43"/>
        <v>0</v>
      </c>
      <c r="BA16" s="45">
        <f t="shared" si="44"/>
        <v>0</v>
      </c>
      <c r="BB16" s="46">
        <f t="shared" si="45"/>
        <v>0</v>
      </c>
      <c r="BC16" s="46">
        <f t="shared" si="46"/>
        <v>448</v>
      </c>
      <c r="BD16" s="46">
        <f t="shared" si="47"/>
        <v>0</v>
      </c>
      <c r="BE16" s="46">
        <f t="shared" si="48"/>
        <v>0</v>
      </c>
      <c r="BF16" s="46">
        <f t="shared" si="49"/>
        <v>0</v>
      </c>
      <c r="BG16" s="46">
        <f t="shared" si="50"/>
        <v>0</v>
      </c>
      <c r="BH16" s="46">
        <f t="shared" si="51"/>
        <v>432</v>
      </c>
      <c r="BI16" s="46">
        <f t="shared" si="52"/>
        <v>0</v>
      </c>
      <c r="BJ16" s="46">
        <f t="shared" si="53"/>
        <v>0</v>
      </c>
      <c r="BK16" s="46">
        <f t="shared" si="54"/>
        <v>0</v>
      </c>
      <c r="BL16" s="46">
        <f t="shared" si="55"/>
        <v>0</v>
      </c>
      <c r="BM16" s="46">
        <f t="shared" si="56"/>
        <v>0</v>
      </c>
      <c r="BN16" s="46">
        <f t="shared" si="57"/>
        <v>0</v>
      </c>
      <c r="BO16" s="47">
        <f t="shared" si="58"/>
        <v>0</v>
      </c>
      <c r="BP16" s="48">
        <f t="shared" si="59"/>
        <v>0</v>
      </c>
      <c r="BQ16" s="46">
        <f t="shared" si="60"/>
        <v>0</v>
      </c>
      <c r="BR16" s="46">
        <f t="shared" si="61"/>
        <v>0</v>
      </c>
      <c r="BS16" s="46">
        <f t="shared" si="62"/>
        <v>0</v>
      </c>
      <c r="BT16" s="46">
        <f t="shared" si="63"/>
        <v>0</v>
      </c>
      <c r="BU16" s="46">
        <f t="shared" si="64"/>
        <v>0</v>
      </c>
      <c r="BV16" s="46">
        <f t="shared" si="65"/>
        <v>0</v>
      </c>
      <c r="BW16" s="46">
        <f t="shared" si="66"/>
        <v>224</v>
      </c>
      <c r="BX16" s="46">
        <f t="shared" si="67"/>
        <v>0</v>
      </c>
      <c r="BY16" s="46">
        <f t="shared" si="68"/>
        <v>0</v>
      </c>
      <c r="BZ16" s="46">
        <f t="shared" si="69"/>
        <v>0</v>
      </c>
      <c r="CA16" s="46">
        <f t="shared" si="70"/>
        <v>0</v>
      </c>
      <c r="CB16" s="46">
        <f t="shared" si="71"/>
        <v>0</v>
      </c>
      <c r="CC16" s="46">
        <f t="shared" si="72"/>
        <v>0</v>
      </c>
      <c r="CD16" s="46">
        <f t="shared" si="73"/>
        <v>0</v>
      </c>
      <c r="CE16" s="45">
        <f t="shared" si="74"/>
        <v>0</v>
      </c>
      <c r="CF16" s="46">
        <f t="shared" si="75"/>
        <v>0</v>
      </c>
      <c r="CG16" s="46">
        <f t="shared" si="76"/>
        <v>224</v>
      </c>
      <c r="CH16" s="46">
        <f t="shared" si="77"/>
        <v>0</v>
      </c>
      <c r="CI16" s="46">
        <f t="shared" si="78"/>
        <v>0</v>
      </c>
      <c r="CJ16" s="46">
        <f t="shared" si="79"/>
        <v>0</v>
      </c>
      <c r="CK16" s="46">
        <f t="shared" si="80"/>
        <v>0</v>
      </c>
      <c r="CL16" s="46">
        <f t="shared" si="81"/>
        <v>208</v>
      </c>
      <c r="CM16" s="46">
        <f t="shared" si="82"/>
        <v>0</v>
      </c>
      <c r="CN16" s="46">
        <f t="shared" si="83"/>
        <v>0</v>
      </c>
      <c r="CO16" s="46">
        <f t="shared" si="84"/>
        <v>0</v>
      </c>
      <c r="CP16" s="46">
        <f t="shared" si="85"/>
        <v>0</v>
      </c>
      <c r="CQ16" s="46">
        <f t="shared" si="86"/>
        <v>0</v>
      </c>
      <c r="CR16" s="46">
        <f t="shared" si="87"/>
        <v>0</v>
      </c>
      <c r="CS16" s="46">
        <f t="shared" si="88"/>
        <v>0</v>
      </c>
      <c r="CT16" s="45">
        <f t="shared" si="89"/>
        <v>0</v>
      </c>
      <c r="CU16" s="46">
        <f t="shared" si="90"/>
        <v>0</v>
      </c>
      <c r="CV16" s="46">
        <f t="shared" si="91"/>
        <v>0</v>
      </c>
      <c r="CW16" s="46">
        <f t="shared" si="92"/>
        <v>0</v>
      </c>
      <c r="CX16" s="46">
        <f t="shared" si="93"/>
        <v>0</v>
      </c>
      <c r="CY16" s="46">
        <f t="shared" si="94"/>
        <v>0</v>
      </c>
      <c r="CZ16" s="46">
        <f t="shared" si="95"/>
        <v>0</v>
      </c>
      <c r="DA16" s="46">
        <f t="shared" si="96"/>
        <v>0</v>
      </c>
      <c r="DB16" s="46">
        <f t="shared" si="97"/>
        <v>0</v>
      </c>
      <c r="DC16" s="46">
        <f t="shared" si="98"/>
        <v>0</v>
      </c>
      <c r="DD16" s="46">
        <f t="shared" si="99"/>
        <v>0</v>
      </c>
      <c r="DE16" s="46">
        <f t="shared" si="100"/>
        <v>0</v>
      </c>
      <c r="DF16" s="46">
        <f t="shared" si="101"/>
        <v>0</v>
      </c>
      <c r="DG16" s="46">
        <f t="shared" si="102"/>
        <v>0</v>
      </c>
      <c r="DH16" s="47">
        <f t="shared" si="103"/>
        <v>0</v>
      </c>
      <c r="DI16" s="49">
        <f t="shared" si="104"/>
        <v>448</v>
      </c>
      <c r="DJ16" s="50">
        <f t="shared" si="105"/>
        <v>208</v>
      </c>
      <c r="DK16" s="50">
        <f t="shared" si="106"/>
        <v>0</v>
      </c>
      <c r="DL16" s="51">
        <f t="shared" si="107"/>
        <v>448</v>
      </c>
      <c r="DM16" s="51">
        <f t="shared" si="108"/>
        <v>416</v>
      </c>
      <c r="DN16" s="51">
        <f t="shared" si="109"/>
        <v>0</v>
      </c>
      <c r="DO16" s="52">
        <f t="shared" si="110"/>
        <v>448</v>
      </c>
      <c r="DP16" s="52">
        <f t="shared" si="111"/>
        <v>448</v>
      </c>
      <c r="DQ16" s="52">
        <f t="shared" si="112"/>
        <v>0</v>
      </c>
      <c r="DR16" s="53">
        <f t="shared" si="113"/>
        <v>448</v>
      </c>
      <c r="DS16" s="53">
        <f t="shared" si="114"/>
        <v>432</v>
      </c>
      <c r="DT16" s="53">
        <f t="shared" si="115"/>
        <v>0</v>
      </c>
      <c r="DU16" s="54">
        <f t="shared" si="116"/>
        <v>0</v>
      </c>
      <c r="DV16" s="54">
        <f t="shared" si="117"/>
        <v>224</v>
      </c>
      <c r="DW16" s="54">
        <f t="shared" si="118"/>
        <v>0</v>
      </c>
      <c r="DX16" s="55">
        <f t="shared" si="119"/>
        <v>224</v>
      </c>
      <c r="DY16" s="55">
        <f t="shared" si="120"/>
        <v>208</v>
      </c>
      <c r="DZ16" s="55">
        <f t="shared" si="121"/>
        <v>0</v>
      </c>
      <c r="EA16" s="56">
        <f t="shared" si="122"/>
        <v>0</v>
      </c>
      <c r="EB16" s="56">
        <f t="shared" si="123"/>
        <v>0</v>
      </c>
      <c r="EC16" s="56">
        <f t="shared" si="124"/>
        <v>0</v>
      </c>
    </row>
    <row r="17" spans="1:133" s="57" customFormat="1" ht="19.5" x14ac:dyDescent="0.25">
      <c r="A17" s="40"/>
      <c r="B17" s="41"/>
      <c r="C17" s="41">
        <v>16</v>
      </c>
      <c r="D17" s="64">
        <v>12</v>
      </c>
      <c r="E17" s="64"/>
      <c r="F17" s="65" t="s">
        <v>36</v>
      </c>
      <c r="G17" s="60" t="s">
        <v>37</v>
      </c>
      <c r="H17" s="45">
        <f t="shared" si="2"/>
        <v>0</v>
      </c>
      <c r="I17" s="46">
        <f t="shared" si="3"/>
        <v>0</v>
      </c>
      <c r="J17" s="46">
        <f t="shared" si="126"/>
        <v>448</v>
      </c>
      <c r="K17" s="46">
        <f t="shared" si="7"/>
        <v>0</v>
      </c>
      <c r="L17" s="46">
        <f t="shared" si="125"/>
        <v>0</v>
      </c>
      <c r="M17" s="46">
        <f t="shared" si="4"/>
        <v>0</v>
      </c>
      <c r="N17" s="46">
        <f t="shared" si="127"/>
        <v>0</v>
      </c>
      <c r="O17" s="46">
        <f t="shared" si="5"/>
        <v>208</v>
      </c>
      <c r="P17" s="46">
        <f t="shared" si="6"/>
        <v>0</v>
      </c>
      <c r="Q17" s="46">
        <f t="shared" si="8"/>
        <v>0</v>
      </c>
      <c r="R17" s="46">
        <f t="shared" si="9"/>
        <v>0</v>
      </c>
      <c r="S17" s="46">
        <f t="shared" si="10"/>
        <v>0</v>
      </c>
      <c r="T17" s="46">
        <f t="shared" si="11"/>
        <v>0</v>
      </c>
      <c r="U17" s="46">
        <f t="shared" si="12"/>
        <v>0</v>
      </c>
      <c r="V17" s="47">
        <f t="shared" si="13"/>
        <v>0</v>
      </c>
      <c r="W17" s="48">
        <f t="shared" si="14"/>
        <v>0</v>
      </c>
      <c r="X17" s="46">
        <f t="shared" si="15"/>
        <v>0</v>
      </c>
      <c r="Y17" s="46">
        <f t="shared" si="16"/>
        <v>448</v>
      </c>
      <c r="Z17" s="46">
        <f t="shared" si="17"/>
        <v>0</v>
      </c>
      <c r="AA17" s="46">
        <f t="shared" si="18"/>
        <v>0</v>
      </c>
      <c r="AB17" s="46">
        <f t="shared" si="19"/>
        <v>0</v>
      </c>
      <c r="AC17" s="46">
        <f t="shared" si="20"/>
        <v>0</v>
      </c>
      <c r="AD17" s="46">
        <f t="shared" si="21"/>
        <v>416</v>
      </c>
      <c r="AE17" s="46">
        <f t="shared" si="22"/>
        <v>0</v>
      </c>
      <c r="AF17" s="46">
        <f t="shared" si="23"/>
        <v>0</v>
      </c>
      <c r="AG17" s="46">
        <f t="shared" si="24"/>
        <v>0</v>
      </c>
      <c r="AH17" s="46">
        <f t="shared" si="25"/>
        <v>0</v>
      </c>
      <c r="AI17" s="46">
        <f t="shared" si="26"/>
        <v>0</v>
      </c>
      <c r="AJ17" s="46">
        <f t="shared" si="27"/>
        <v>0</v>
      </c>
      <c r="AK17" s="46">
        <f t="shared" si="28"/>
        <v>0</v>
      </c>
      <c r="AL17" s="45">
        <f t="shared" si="29"/>
        <v>0</v>
      </c>
      <c r="AM17" s="46">
        <f t="shared" si="30"/>
        <v>0</v>
      </c>
      <c r="AN17" s="46">
        <f t="shared" si="31"/>
        <v>448</v>
      </c>
      <c r="AO17" s="46">
        <f t="shared" si="32"/>
        <v>0</v>
      </c>
      <c r="AP17" s="46">
        <f t="shared" si="33"/>
        <v>0</v>
      </c>
      <c r="AQ17" s="46">
        <f t="shared" si="34"/>
        <v>0</v>
      </c>
      <c r="AR17" s="46">
        <f t="shared" si="35"/>
        <v>0</v>
      </c>
      <c r="AS17" s="46">
        <f t="shared" si="36"/>
        <v>448</v>
      </c>
      <c r="AT17" s="46">
        <f t="shared" si="37"/>
        <v>0</v>
      </c>
      <c r="AU17" s="46">
        <f t="shared" si="38"/>
        <v>0</v>
      </c>
      <c r="AV17" s="46">
        <f t="shared" si="39"/>
        <v>0</v>
      </c>
      <c r="AW17" s="46">
        <f t="shared" si="40"/>
        <v>0</v>
      </c>
      <c r="AX17" s="46">
        <f t="shared" si="41"/>
        <v>0</v>
      </c>
      <c r="AY17" s="46">
        <f t="shared" si="42"/>
        <v>0</v>
      </c>
      <c r="AZ17" s="47">
        <f t="shared" si="43"/>
        <v>0</v>
      </c>
      <c r="BA17" s="45">
        <f t="shared" si="44"/>
        <v>0</v>
      </c>
      <c r="BB17" s="46">
        <f t="shared" si="45"/>
        <v>0</v>
      </c>
      <c r="BC17" s="46">
        <f t="shared" si="46"/>
        <v>448</v>
      </c>
      <c r="BD17" s="46">
        <f t="shared" si="47"/>
        <v>0</v>
      </c>
      <c r="BE17" s="46">
        <f t="shared" si="48"/>
        <v>0</v>
      </c>
      <c r="BF17" s="46">
        <f t="shared" si="49"/>
        <v>0</v>
      </c>
      <c r="BG17" s="46">
        <f t="shared" si="50"/>
        <v>0</v>
      </c>
      <c r="BH17" s="46">
        <f t="shared" si="51"/>
        <v>432</v>
      </c>
      <c r="BI17" s="46">
        <f t="shared" si="52"/>
        <v>0</v>
      </c>
      <c r="BJ17" s="46">
        <f t="shared" si="53"/>
        <v>0</v>
      </c>
      <c r="BK17" s="46">
        <f t="shared" si="54"/>
        <v>0</v>
      </c>
      <c r="BL17" s="46">
        <f t="shared" si="55"/>
        <v>0</v>
      </c>
      <c r="BM17" s="46">
        <f t="shared" si="56"/>
        <v>0</v>
      </c>
      <c r="BN17" s="46">
        <f t="shared" si="57"/>
        <v>0</v>
      </c>
      <c r="BO17" s="47">
        <f t="shared" si="58"/>
        <v>0</v>
      </c>
      <c r="BP17" s="48">
        <f t="shared" si="59"/>
        <v>0</v>
      </c>
      <c r="BQ17" s="46">
        <f t="shared" si="60"/>
        <v>0</v>
      </c>
      <c r="BR17" s="46">
        <f t="shared" si="61"/>
        <v>0</v>
      </c>
      <c r="BS17" s="46">
        <f t="shared" si="62"/>
        <v>0</v>
      </c>
      <c r="BT17" s="46">
        <f t="shared" si="63"/>
        <v>0</v>
      </c>
      <c r="BU17" s="46">
        <f t="shared" si="64"/>
        <v>0</v>
      </c>
      <c r="BV17" s="46">
        <f t="shared" si="65"/>
        <v>0</v>
      </c>
      <c r="BW17" s="46">
        <f t="shared" si="66"/>
        <v>224</v>
      </c>
      <c r="BX17" s="46">
        <f t="shared" si="67"/>
        <v>0</v>
      </c>
      <c r="BY17" s="46">
        <f t="shared" si="68"/>
        <v>0</v>
      </c>
      <c r="BZ17" s="46">
        <f t="shared" si="69"/>
        <v>0</v>
      </c>
      <c r="CA17" s="46">
        <f t="shared" si="70"/>
        <v>0</v>
      </c>
      <c r="CB17" s="46">
        <f t="shared" si="71"/>
        <v>0</v>
      </c>
      <c r="CC17" s="46">
        <f t="shared" si="72"/>
        <v>0</v>
      </c>
      <c r="CD17" s="46">
        <f t="shared" si="73"/>
        <v>0</v>
      </c>
      <c r="CE17" s="45">
        <f t="shared" si="74"/>
        <v>0</v>
      </c>
      <c r="CF17" s="46">
        <f t="shared" si="75"/>
        <v>0</v>
      </c>
      <c r="CG17" s="46">
        <f t="shared" si="76"/>
        <v>224</v>
      </c>
      <c r="CH17" s="46">
        <f t="shared" si="77"/>
        <v>0</v>
      </c>
      <c r="CI17" s="46">
        <f t="shared" si="78"/>
        <v>0</v>
      </c>
      <c r="CJ17" s="46">
        <f t="shared" si="79"/>
        <v>0</v>
      </c>
      <c r="CK17" s="46">
        <f t="shared" si="80"/>
        <v>0</v>
      </c>
      <c r="CL17" s="46">
        <f t="shared" si="81"/>
        <v>208</v>
      </c>
      <c r="CM17" s="46">
        <f t="shared" si="82"/>
        <v>0</v>
      </c>
      <c r="CN17" s="46">
        <f t="shared" si="83"/>
        <v>0</v>
      </c>
      <c r="CO17" s="46">
        <f t="shared" si="84"/>
        <v>0</v>
      </c>
      <c r="CP17" s="46">
        <f t="shared" si="85"/>
        <v>0</v>
      </c>
      <c r="CQ17" s="46">
        <f t="shared" si="86"/>
        <v>0</v>
      </c>
      <c r="CR17" s="46">
        <f t="shared" si="87"/>
        <v>0</v>
      </c>
      <c r="CS17" s="46">
        <f t="shared" si="88"/>
        <v>0</v>
      </c>
      <c r="CT17" s="45">
        <f t="shared" si="89"/>
        <v>0</v>
      </c>
      <c r="CU17" s="46">
        <f t="shared" si="90"/>
        <v>0</v>
      </c>
      <c r="CV17" s="46">
        <f t="shared" si="91"/>
        <v>0</v>
      </c>
      <c r="CW17" s="46">
        <f t="shared" si="92"/>
        <v>0</v>
      </c>
      <c r="CX17" s="46">
        <f t="shared" si="93"/>
        <v>0</v>
      </c>
      <c r="CY17" s="46">
        <f t="shared" si="94"/>
        <v>0</v>
      </c>
      <c r="CZ17" s="46">
        <f t="shared" si="95"/>
        <v>0</v>
      </c>
      <c r="DA17" s="46">
        <f t="shared" si="96"/>
        <v>0</v>
      </c>
      <c r="DB17" s="46">
        <f t="shared" si="97"/>
        <v>0</v>
      </c>
      <c r="DC17" s="46">
        <f t="shared" si="98"/>
        <v>0</v>
      </c>
      <c r="DD17" s="46">
        <f t="shared" si="99"/>
        <v>0</v>
      </c>
      <c r="DE17" s="46">
        <f t="shared" si="100"/>
        <v>0</v>
      </c>
      <c r="DF17" s="46">
        <f t="shared" si="101"/>
        <v>0</v>
      </c>
      <c r="DG17" s="46">
        <f t="shared" si="102"/>
        <v>0</v>
      </c>
      <c r="DH17" s="47">
        <f t="shared" si="103"/>
        <v>0</v>
      </c>
      <c r="DI17" s="49">
        <f t="shared" si="104"/>
        <v>448</v>
      </c>
      <c r="DJ17" s="50">
        <f t="shared" si="105"/>
        <v>208</v>
      </c>
      <c r="DK17" s="50">
        <f t="shared" si="106"/>
        <v>0</v>
      </c>
      <c r="DL17" s="51">
        <f t="shared" si="107"/>
        <v>448</v>
      </c>
      <c r="DM17" s="51">
        <f t="shared" si="108"/>
        <v>416</v>
      </c>
      <c r="DN17" s="51">
        <f t="shared" si="109"/>
        <v>0</v>
      </c>
      <c r="DO17" s="52">
        <f t="shared" si="110"/>
        <v>448</v>
      </c>
      <c r="DP17" s="52">
        <f t="shared" si="111"/>
        <v>448</v>
      </c>
      <c r="DQ17" s="52">
        <f t="shared" si="112"/>
        <v>0</v>
      </c>
      <c r="DR17" s="53">
        <f t="shared" si="113"/>
        <v>448</v>
      </c>
      <c r="DS17" s="53">
        <f t="shared" si="114"/>
        <v>432</v>
      </c>
      <c r="DT17" s="53">
        <f t="shared" si="115"/>
        <v>0</v>
      </c>
      <c r="DU17" s="54">
        <f t="shared" si="116"/>
        <v>0</v>
      </c>
      <c r="DV17" s="54">
        <f t="shared" si="117"/>
        <v>224</v>
      </c>
      <c r="DW17" s="54">
        <f t="shared" si="118"/>
        <v>0</v>
      </c>
      <c r="DX17" s="55">
        <f t="shared" si="119"/>
        <v>224</v>
      </c>
      <c r="DY17" s="55">
        <f t="shared" si="120"/>
        <v>208</v>
      </c>
      <c r="DZ17" s="55">
        <f t="shared" si="121"/>
        <v>0</v>
      </c>
      <c r="EA17" s="56">
        <f t="shared" si="122"/>
        <v>0</v>
      </c>
      <c r="EB17" s="56">
        <f t="shared" si="123"/>
        <v>0</v>
      </c>
      <c r="EC17" s="56">
        <f t="shared" si="124"/>
        <v>0</v>
      </c>
    </row>
    <row r="18" spans="1:133" s="57" customFormat="1" ht="19.5" x14ac:dyDescent="0.25">
      <c r="A18" s="40"/>
      <c r="B18" s="66">
        <v>0.01</v>
      </c>
      <c r="C18" s="66">
        <v>0.01</v>
      </c>
      <c r="D18" s="67">
        <v>0.01</v>
      </c>
      <c r="E18" s="67"/>
      <c r="F18" s="43" t="s">
        <v>38</v>
      </c>
      <c r="G18" s="60" t="s">
        <v>39</v>
      </c>
      <c r="H18" s="45">
        <f t="shared" si="2"/>
        <v>0</v>
      </c>
      <c r="I18" s="46">
        <f t="shared" si="3"/>
        <v>0</v>
      </c>
      <c r="J18" s="46">
        <f>C18*$J$6</f>
        <v>0.28000000000000003</v>
      </c>
      <c r="K18" s="46">
        <f t="shared" si="7"/>
        <v>0</v>
      </c>
      <c r="L18" s="46">
        <f t="shared" si="125"/>
        <v>0</v>
      </c>
      <c r="M18" s="46">
        <f t="shared" si="4"/>
        <v>0</v>
      </c>
      <c r="N18" s="46">
        <f t="shared" si="127"/>
        <v>0</v>
      </c>
      <c r="O18" s="46">
        <f t="shared" si="5"/>
        <v>0.13</v>
      </c>
      <c r="P18" s="46">
        <f t="shared" si="6"/>
        <v>0</v>
      </c>
      <c r="Q18" s="46">
        <f t="shared" si="8"/>
        <v>0</v>
      </c>
      <c r="R18" s="46">
        <f t="shared" si="9"/>
        <v>0</v>
      </c>
      <c r="S18" s="46">
        <f t="shared" si="10"/>
        <v>0</v>
      </c>
      <c r="T18" s="46">
        <f t="shared" si="11"/>
        <v>0</v>
      </c>
      <c r="U18" s="46">
        <f t="shared" si="12"/>
        <v>0</v>
      </c>
      <c r="V18" s="47">
        <f t="shared" si="13"/>
        <v>0</v>
      </c>
      <c r="W18" s="48">
        <f t="shared" si="14"/>
        <v>0</v>
      </c>
      <c r="X18" s="46">
        <f t="shared" si="15"/>
        <v>0</v>
      </c>
      <c r="Y18" s="46">
        <f t="shared" si="16"/>
        <v>0.28000000000000003</v>
      </c>
      <c r="Z18" s="46">
        <f t="shared" si="17"/>
        <v>0</v>
      </c>
      <c r="AA18" s="46">
        <f t="shared" si="18"/>
        <v>0</v>
      </c>
      <c r="AB18" s="46">
        <f t="shared" si="19"/>
        <v>0</v>
      </c>
      <c r="AC18" s="46">
        <f t="shared" si="20"/>
        <v>0</v>
      </c>
      <c r="AD18" s="46">
        <f t="shared" si="21"/>
        <v>0.26</v>
      </c>
      <c r="AE18" s="46">
        <f t="shared" si="22"/>
        <v>0</v>
      </c>
      <c r="AF18" s="46">
        <f t="shared" si="23"/>
        <v>0</v>
      </c>
      <c r="AG18" s="46">
        <f t="shared" si="24"/>
        <v>0</v>
      </c>
      <c r="AH18" s="46">
        <f t="shared" si="25"/>
        <v>0</v>
      </c>
      <c r="AI18" s="46">
        <f t="shared" si="26"/>
        <v>0</v>
      </c>
      <c r="AJ18" s="46">
        <f t="shared" si="27"/>
        <v>0</v>
      </c>
      <c r="AK18" s="46">
        <f t="shared" si="28"/>
        <v>0</v>
      </c>
      <c r="AL18" s="45">
        <f t="shared" si="29"/>
        <v>0</v>
      </c>
      <c r="AM18" s="46">
        <f t="shared" si="30"/>
        <v>0</v>
      </c>
      <c r="AN18" s="46">
        <f t="shared" si="31"/>
        <v>0.28000000000000003</v>
      </c>
      <c r="AO18" s="46">
        <f t="shared" si="32"/>
        <v>0</v>
      </c>
      <c r="AP18" s="46">
        <f t="shared" si="33"/>
        <v>0</v>
      </c>
      <c r="AQ18" s="46">
        <f t="shared" si="34"/>
        <v>0</v>
      </c>
      <c r="AR18" s="46">
        <f t="shared" si="35"/>
        <v>0</v>
      </c>
      <c r="AS18" s="46">
        <f t="shared" si="36"/>
        <v>0.28000000000000003</v>
      </c>
      <c r="AT18" s="46">
        <f t="shared" si="37"/>
        <v>0</v>
      </c>
      <c r="AU18" s="46">
        <f t="shared" si="38"/>
        <v>0</v>
      </c>
      <c r="AV18" s="46">
        <f t="shared" si="39"/>
        <v>0</v>
      </c>
      <c r="AW18" s="46">
        <f t="shared" si="40"/>
        <v>0</v>
      </c>
      <c r="AX18" s="46">
        <f t="shared" si="41"/>
        <v>0</v>
      </c>
      <c r="AY18" s="46">
        <f t="shared" si="42"/>
        <v>0</v>
      </c>
      <c r="AZ18" s="47">
        <f t="shared" si="43"/>
        <v>0</v>
      </c>
      <c r="BA18" s="45">
        <f t="shared" si="44"/>
        <v>0</v>
      </c>
      <c r="BB18" s="46">
        <f t="shared" si="45"/>
        <v>0</v>
      </c>
      <c r="BC18" s="46">
        <f t="shared" si="46"/>
        <v>0.28000000000000003</v>
      </c>
      <c r="BD18" s="46">
        <f t="shared" si="47"/>
        <v>0</v>
      </c>
      <c r="BE18" s="46">
        <f t="shared" si="48"/>
        <v>0</v>
      </c>
      <c r="BF18" s="46">
        <f t="shared" si="49"/>
        <v>0</v>
      </c>
      <c r="BG18" s="46">
        <f t="shared" si="50"/>
        <v>0</v>
      </c>
      <c r="BH18" s="46">
        <f t="shared" si="51"/>
        <v>0.27</v>
      </c>
      <c r="BI18" s="46">
        <f t="shared" si="52"/>
        <v>0</v>
      </c>
      <c r="BJ18" s="46">
        <f t="shared" si="53"/>
        <v>0</v>
      </c>
      <c r="BK18" s="46">
        <f t="shared" si="54"/>
        <v>0</v>
      </c>
      <c r="BL18" s="46">
        <f t="shared" si="55"/>
        <v>0</v>
      </c>
      <c r="BM18" s="46">
        <f t="shared" si="56"/>
        <v>0</v>
      </c>
      <c r="BN18" s="46">
        <f t="shared" si="57"/>
        <v>0</v>
      </c>
      <c r="BO18" s="47">
        <f t="shared" si="58"/>
        <v>0</v>
      </c>
      <c r="BP18" s="48">
        <f t="shared" si="59"/>
        <v>0</v>
      </c>
      <c r="BQ18" s="46">
        <f t="shared" si="60"/>
        <v>0.28000000000000003</v>
      </c>
      <c r="BR18" s="46">
        <f t="shared" si="61"/>
        <v>0</v>
      </c>
      <c r="BS18" s="46">
        <f t="shared" si="62"/>
        <v>0</v>
      </c>
      <c r="BT18" s="46">
        <f t="shared" si="63"/>
        <v>0</v>
      </c>
      <c r="BU18" s="46">
        <f t="shared" si="64"/>
        <v>0</v>
      </c>
      <c r="BV18" s="46">
        <f t="shared" si="65"/>
        <v>0.14000000000000001</v>
      </c>
      <c r="BW18" s="46">
        <f t="shared" si="66"/>
        <v>0.14000000000000001</v>
      </c>
      <c r="BX18" s="46">
        <f t="shared" si="67"/>
        <v>0</v>
      </c>
      <c r="BY18" s="46">
        <f t="shared" si="68"/>
        <v>0</v>
      </c>
      <c r="BZ18" s="46">
        <f t="shared" si="69"/>
        <v>0</v>
      </c>
      <c r="CA18" s="46">
        <f t="shared" si="70"/>
        <v>0</v>
      </c>
      <c r="CB18" s="46">
        <f t="shared" si="71"/>
        <v>0</v>
      </c>
      <c r="CC18" s="46">
        <f t="shared" si="72"/>
        <v>0</v>
      </c>
      <c r="CD18" s="46">
        <f t="shared" si="73"/>
        <v>0</v>
      </c>
      <c r="CE18" s="45">
        <f t="shared" si="74"/>
        <v>0</v>
      </c>
      <c r="CF18" s="46">
        <f t="shared" si="75"/>
        <v>0.14000000000000001</v>
      </c>
      <c r="CG18" s="46">
        <f t="shared" si="76"/>
        <v>0.14000000000000001</v>
      </c>
      <c r="CH18" s="46">
        <f t="shared" si="77"/>
        <v>0</v>
      </c>
      <c r="CI18" s="46">
        <f t="shared" si="78"/>
        <v>0</v>
      </c>
      <c r="CJ18" s="46">
        <f t="shared" si="79"/>
        <v>0</v>
      </c>
      <c r="CK18" s="46">
        <f t="shared" si="80"/>
        <v>0.13</v>
      </c>
      <c r="CL18" s="46">
        <f t="shared" si="81"/>
        <v>0.13</v>
      </c>
      <c r="CM18" s="46">
        <f t="shared" si="82"/>
        <v>0</v>
      </c>
      <c r="CN18" s="46">
        <f t="shared" si="83"/>
        <v>0</v>
      </c>
      <c r="CO18" s="46">
        <f t="shared" si="84"/>
        <v>0</v>
      </c>
      <c r="CP18" s="46">
        <f t="shared" si="85"/>
        <v>0</v>
      </c>
      <c r="CQ18" s="46">
        <f t="shared" si="86"/>
        <v>0</v>
      </c>
      <c r="CR18" s="46">
        <f t="shared" si="87"/>
        <v>0</v>
      </c>
      <c r="CS18" s="46">
        <f t="shared" si="88"/>
        <v>0</v>
      </c>
      <c r="CT18" s="45">
        <f t="shared" si="89"/>
        <v>0</v>
      </c>
      <c r="CU18" s="46">
        <f t="shared" si="90"/>
        <v>0</v>
      </c>
      <c r="CV18" s="46">
        <f t="shared" si="91"/>
        <v>0</v>
      </c>
      <c r="CW18" s="46">
        <f t="shared" si="92"/>
        <v>0</v>
      </c>
      <c r="CX18" s="46">
        <f t="shared" si="93"/>
        <v>0</v>
      </c>
      <c r="CY18" s="46">
        <f t="shared" si="94"/>
        <v>0</v>
      </c>
      <c r="CZ18" s="46">
        <f t="shared" si="95"/>
        <v>0</v>
      </c>
      <c r="DA18" s="46">
        <f t="shared" si="96"/>
        <v>0</v>
      </c>
      <c r="DB18" s="46">
        <f t="shared" si="97"/>
        <v>0</v>
      </c>
      <c r="DC18" s="46">
        <f t="shared" si="98"/>
        <v>0</v>
      </c>
      <c r="DD18" s="46">
        <f t="shared" si="99"/>
        <v>0</v>
      </c>
      <c r="DE18" s="46">
        <f t="shared" si="100"/>
        <v>0</v>
      </c>
      <c r="DF18" s="46">
        <f t="shared" si="101"/>
        <v>0</v>
      </c>
      <c r="DG18" s="46">
        <f t="shared" si="102"/>
        <v>0</v>
      </c>
      <c r="DH18" s="47">
        <f t="shared" si="103"/>
        <v>0</v>
      </c>
      <c r="DI18" s="49">
        <f t="shared" si="104"/>
        <v>1</v>
      </c>
      <c r="DJ18" s="50">
        <f t="shared" si="105"/>
        <v>1</v>
      </c>
      <c r="DK18" s="50">
        <f t="shared" si="106"/>
        <v>0</v>
      </c>
      <c r="DL18" s="51">
        <f t="shared" si="107"/>
        <v>1</v>
      </c>
      <c r="DM18" s="51">
        <f t="shared" si="108"/>
        <v>1</v>
      </c>
      <c r="DN18" s="51">
        <f t="shared" si="109"/>
        <v>0</v>
      </c>
      <c r="DO18" s="52">
        <f t="shared" si="110"/>
        <v>1</v>
      </c>
      <c r="DP18" s="52">
        <f t="shared" si="111"/>
        <v>1</v>
      </c>
      <c r="DQ18" s="52">
        <f t="shared" si="112"/>
        <v>0</v>
      </c>
      <c r="DR18" s="53">
        <f t="shared" si="113"/>
        <v>1</v>
      </c>
      <c r="DS18" s="53">
        <f t="shared" si="114"/>
        <v>1</v>
      </c>
      <c r="DT18" s="53">
        <f t="shared" si="115"/>
        <v>0</v>
      </c>
      <c r="DU18" s="54">
        <f t="shared" si="116"/>
        <v>1</v>
      </c>
      <c r="DV18" s="54">
        <f t="shared" si="117"/>
        <v>1</v>
      </c>
      <c r="DW18" s="54">
        <f t="shared" si="118"/>
        <v>0</v>
      </c>
      <c r="DX18" s="55">
        <f t="shared" si="119"/>
        <v>1</v>
      </c>
      <c r="DY18" s="55">
        <f t="shared" si="120"/>
        <v>1</v>
      </c>
      <c r="DZ18" s="55">
        <f t="shared" si="121"/>
        <v>0</v>
      </c>
      <c r="EA18" s="56">
        <f t="shared" si="122"/>
        <v>0</v>
      </c>
      <c r="EB18" s="56">
        <f t="shared" si="123"/>
        <v>0</v>
      </c>
      <c r="EC18" s="56">
        <f t="shared" si="124"/>
        <v>0</v>
      </c>
    </row>
    <row r="19" spans="1:133" s="57" customFormat="1" ht="19.5" x14ac:dyDescent="0.25">
      <c r="A19" s="40"/>
      <c r="B19" s="66">
        <v>0.01</v>
      </c>
      <c r="C19" s="66">
        <v>0.01</v>
      </c>
      <c r="D19" s="67">
        <v>0.01</v>
      </c>
      <c r="E19" s="67"/>
      <c r="F19" s="43" t="s">
        <v>40</v>
      </c>
      <c r="G19" s="60" t="s">
        <v>41</v>
      </c>
      <c r="H19" s="45">
        <f t="shared" si="2"/>
        <v>0</v>
      </c>
      <c r="I19" s="46">
        <f t="shared" si="3"/>
        <v>0</v>
      </c>
      <c r="J19" s="46">
        <f>C19*$J$6</f>
        <v>0.28000000000000003</v>
      </c>
      <c r="K19" s="46">
        <f t="shared" si="7"/>
        <v>0</v>
      </c>
      <c r="L19" s="46">
        <f t="shared" si="125"/>
        <v>0</v>
      </c>
      <c r="M19" s="46">
        <f t="shared" si="4"/>
        <v>0</v>
      </c>
      <c r="N19" s="46">
        <f t="shared" si="127"/>
        <v>0</v>
      </c>
      <c r="O19" s="46">
        <f t="shared" si="5"/>
        <v>0.13</v>
      </c>
      <c r="P19" s="46">
        <f t="shared" si="6"/>
        <v>0</v>
      </c>
      <c r="Q19" s="46">
        <f t="shared" si="8"/>
        <v>0</v>
      </c>
      <c r="R19" s="46">
        <f t="shared" si="9"/>
        <v>0</v>
      </c>
      <c r="S19" s="46">
        <f t="shared" si="10"/>
        <v>0</v>
      </c>
      <c r="T19" s="46">
        <f t="shared" si="11"/>
        <v>0</v>
      </c>
      <c r="U19" s="46">
        <f t="shared" si="12"/>
        <v>0</v>
      </c>
      <c r="V19" s="47">
        <f t="shared" si="13"/>
        <v>0</v>
      </c>
      <c r="W19" s="48">
        <f t="shared" si="14"/>
        <v>0</v>
      </c>
      <c r="X19" s="46">
        <f t="shared" si="15"/>
        <v>0</v>
      </c>
      <c r="Y19" s="46">
        <f t="shared" si="16"/>
        <v>0.28000000000000003</v>
      </c>
      <c r="Z19" s="46">
        <f t="shared" si="17"/>
        <v>0</v>
      </c>
      <c r="AA19" s="46">
        <f t="shared" si="18"/>
        <v>0</v>
      </c>
      <c r="AB19" s="46">
        <f t="shared" si="19"/>
        <v>0</v>
      </c>
      <c r="AC19" s="46">
        <f t="shared" si="20"/>
        <v>0</v>
      </c>
      <c r="AD19" s="46">
        <f t="shared" si="21"/>
        <v>0.26</v>
      </c>
      <c r="AE19" s="46">
        <f t="shared" si="22"/>
        <v>0</v>
      </c>
      <c r="AF19" s="46">
        <f t="shared" si="23"/>
        <v>0</v>
      </c>
      <c r="AG19" s="46">
        <f t="shared" si="24"/>
        <v>0</v>
      </c>
      <c r="AH19" s="46">
        <f t="shared" si="25"/>
        <v>0</v>
      </c>
      <c r="AI19" s="46">
        <f t="shared" si="26"/>
        <v>0</v>
      </c>
      <c r="AJ19" s="46">
        <f t="shared" si="27"/>
        <v>0</v>
      </c>
      <c r="AK19" s="46">
        <f t="shared" si="28"/>
        <v>0</v>
      </c>
      <c r="AL19" s="45">
        <f t="shared" si="29"/>
        <v>0</v>
      </c>
      <c r="AM19" s="46">
        <f t="shared" si="30"/>
        <v>0</v>
      </c>
      <c r="AN19" s="46">
        <f t="shared" si="31"/>
        <v>0.28000000000000003</v>
      </c>
      <c r="AO19" s="46">
        <f t="shared" si="32"/>
        <v>0</v>
      </c>
      <c r="AP19" s="46">
        <f t="shared" si="33"/>
        <v>0</v>
      </c>
      <c r="AQ19" s="46">
        <f t="shared" si="34"/>
        <v>0</v>
      </c>
      <c r="AR19" s="46">
        <f t="shared" si="35"/>
        <v>0</v>
      </c>
      <c r="AS19" s="46">
        <f t="shared" si="36"/>
        <v>0.28000000000000003</v>
      </c>
      <c r="AT19" s="46">
        <f t="shared" si="37"/>
        <v>0</v>
      </c>
      <c r="AU19" s="46">
        <f t="shared" si="38"/>
        <v>0</v>
      </c>
      <c r="AV19" s="46">
        <f t="shared" si="39"/>
        <v>0</v>
      </c>
      <c r="AW19" s="46">
        <f t="shared" si="40"/>
        <v>0</v>
      </c>
      <c r="AX19" s="46">
        <f t="shared" si="41"/>
        <v>0</v>
      </c>
      <c r="AY19" s="46">
        <f t="shared" si="42"/>
        <v>0</v>
      </c>
      <c r="AZ19" s="47">
        <f t="shared" si="43"/>
        <v>0</v>
      </c>
      <c r="BA19" s="45">
        <f t="shared" si="44"/>
        <v>0</v>
      </c>
      <c r="BB19" s="46">
        <f t="shared" si="45"/>
        <v>0</v>
      </c>
      <c r="BC19" s="46">
        <f t="shared" si="46"/>
        <v>0.28000000000000003</v>
      </c>
      <c r="BD19" s="46">
        <f t="shared" si="47"/>
        <v>0</v>
      </c>
      <c r="BE19" s="46">
        <f t="shared" si="48"/>
        <v>0</v>
      </c>
      <c r="BF19" s="46">
        <f t="shared" si="49"/>
        <v>0</v>
      </c>
      <c r="BG19" s="46">
        <f t="shared" si="50"/>
        <v>0</v>
      </c>
      <c r="BH19" s="46">
        <f t="shared" si="51"/>
        <v>0.27</v>
      </c>
      <c r="BI19" s="46">
        <f t="shared" si="52"/>
        <v>0</v>
      </c>
      <c r="BJ19" s="46">
        <f t="shared" si="53"/>
        <v>0</v>
      </c>
      <c r="BK19" s="46">
        <f t="shared" si="54"/>
        <v>0</v>
      </c>
      <c r="BL19" s="46">
        <f t="shared" si="55"/>
        <v>0</v>
      </c>
      <c r="BM19" s="46">
        <f t="shared" si="56"/>
        <v>0</v>
      </c>
      <c r="BN19" s="46">
        <f t="shared" si="57"/>
        <v>0</v>
      </c>
      <c r="BO19" s="47">
        <f t="shared" si="58"/>
        <v>0</v>
      </c>
      <c r="BP19" s="48">
        <f t="shared" si="59"/>
        <v>0</v>
      </c>
      <c r="BQ19" s="46">
        <f t="shared" si="60"/>
        <v>0.28000000000000003</v>
      </c>
      <c r="BR19" s="46">
        <f t="shared" si="61"/>
        <v>0</v>
      </c>
      <c r="BS19" s="46">
        <f t="shared" si="62"/>
        <v>0</v>
      </c>
      <c r="BT19" s="46">
        <f t="shared" si="63"/>
        <v>0</v>
      </c>
      <c r="BU19" s="46">
        <f t="shared" si="64"/>
        <v>0</v>
      </c>
      <c r="BV19" s="46">
        <f t="shared" si="65"/>
        <v>0.14000000000000001</v>
      </c>
      <c r="BW19" s="46">
        <f t="shared" si="66"/>
        <v>0.14000000000000001</v>
      </c>
      <c r="BX19" s="46">
        <f t="shared" si="67"/>
        <v>0</v>
      </c>
      <c r="BY19" s="46">
        <f t="shared" si="68"/>
        <v>0</v>
      </c>
      <c r="BZ19" s="46">
        <f t="shared" si="69"/>
        <v>0</v>
      </c>
      <c r="CA19" s="46">
        <f t="shared" si="70"/>
        <v>0</v>
      </c>
      <c r="CB19" s="46">
        <f t="shared" si="71"/>
        <v>0</v>
      </c>
      <c r="CC19" s="46">
        <f t="shared" si="72"/>
        <v>0</v>
      </c>
      <c r="CD19" s="46">
        <f t="shared" si="73"/>
        <v>0</v>
      </c>
      <c r="CE19" s="45">
        <f t="shared" si="74"/>
        <v>0</v>
      </c>
      <c r="CF19" s="46">
        <f t="shared" si="75"/>
        <v>0.14000000000000001</v>
      </c>
      <c r="CG19" s="46">
        <f t="shared" si="76"/>
        <v>0.14000000000000001</v>
      </c>
      <c r="CH19" s="46">
        <f t="shared" si="77"/>
        <v>0</v>
      </c>
      <c r="CI19" s="46">
        <f t="shared" si="78"/>
        <v>0</v>
      </c>
      <c r="CJ19" s="46">
        <f t="shared" si="79"/>
        <v>0</v>
      </c>
      <c r="CK19" s="46">
        <f t="shared" si="80"/>
        <v>0.13</v>
      </c>
      <c r="CL19" s="46">
        <f t="shared" si="81"/>
        <v>0.13</v>
      </c>
      <c r="CM19" s="46">
        <f t="shared" si="82"/>
        <v>0</v>
      </c>
      <c r="CN19" s="46">
        <f t="shared" si="83"/>
        <v>0</v>
      </c>
      <c r="CO19" s="46">
        <f t="shared" si="84"/>
        <v>0</v>
      </c>
      <c r="CP19" s="46">
        <f t="shared" si="85"/>
        <v>0</v>
      </c>
      <c r="CQ19" s="46">
        <f t="shared" si="86"/>
        <v>0</v>
      </c>
      <c r="CR19" s="46">
        <f t="shared" si="87"/>
        <v>0</v>
      </c>
      <c r="CS19" s="46">
        <f t="shared" si="88"/>
        <v>0</v>
      </c>
      <c r="CT19" s="45">
        <f t="shared" si="89"/>
        <v>0</v>
      </c>
      <c r="CU19" s="46">
        <f t="shared" si="90"/>
        <v>0</v>
      </c>
      <c r="CV19" s="46">
        <f t="shared" si="91"/>
        <v>0</v>
      </c>
      <c r="CW19" s="46">
        <f t="shared" si="92"/>
        <v>0</v>
      </c>
      <c r="CX19" s="46">
        <f t="shared" si="93"/>
        <v>0</v>
      </c>
      <c r="CY19" s="46">
        <f t="shared" si="94"/>
        <v>0</v>
      </c>
      <c r="CZ19" s="46">
        <f t="shared" si="95"/>
        <v>0</v>
      </c>
      <c r="DA19" s="46">
        <f t="shared" si="96"/>
        <v>0</v>
      </c>
      <c r="DB19" s="46">
        <f t="shared" si="97"/>
        <v>0</v>
      </c>
      <c r="DC19" s="46">
        <f t="shared" si="98"/>
        <v>0</v>
      </c>
      <c r="DD19" s="46">
        <f t="shared" si="99"/>
        <v>0</v>
      </c>
      <c r="DE19" s="46">
        <f t="shared" si="100"/>
        <v>0</v>
      </c>
      <c r="DF19" s="46">
        <f t="shared" si="101"/>
        <v>0</v>
      </c>
      <c r="DG19" s="46">
        <f t="shared" si="102"/>
        <v>0</v>
      </c>
      <c r="DH19" s="47">
        <f t="shared" si="103"/>
        <v>0</v>
      </c>
      <c r="DI19" s="49">
        <f t="shared" si="104"/>
        <v>1</v>
      </c>
      <c r="DJ19" s="50">
        <f t="shared" si="105"/>
        <v>1</v>
      </c>
      <c r="DK19" s="50">
        <f t="shared" si="106"/>
        <v>0</v>
      </c>
      <c r="DL19" s="51">
        <f t="shared" si="107"/>
        <v>1</v>
      </c>
      <c r="DM19" s="51">
        <f t="shared" si="108"/>
        <v>1</v>
      </c>
      <c r="DN19" s="51">
        <f t="shared" si="109"/>
        <v>0</v>
      </c>
      <c r="DO19" s="52">
        <f t="shared" si="110"/>
        <v>1</v>
      </c>
      <c r="DP19" s="52">
        <f t="shared" si="111"/>
        <v>1</v>
      </c>
      <c r="DQ19" s="52">
        <f t="shared" si="112"/>
        <v>0</v>
      </c>
      <c r="DR19" s="53">
        <f t="shared" si="113"/>
        <v>1</v>
      </c>
      <c r="DS19" s="53">
        <f t="shared" si="114"/>
        <v>1</v>
      </c>
      <c r="DT19" s="53">
        <f t="shared" si="115"/>
        <v>0</v>
      </c>
      <c r="DU19" s="54">
        <f t="shared" si="116"/>
        <v>1</v>
      </c>
      <c r="DV19" s="54">
        <f t="shared" si="117"/>
        <v>1</v>
      </c>
      <c r="DW19" s="54">
        <f t="shared" si="118"/>
        <v>0</v>
      </c>
      <c r="DX19" s="55">
        <f t="shared" si="119"/>
        <v>1</v>
      </c>
      <c r="DY19" s="55">
        <f t="shared" si="120"/>
        <v>1</v>
      </c>
      <c r="DZ19" s="55">
        <f t="shared" si="121"/>
        <v>0</v>
      </c>
      <c r="EA19" s="56">
        <f t="shared" si="122"/>
        <v>0</v>
      </c>
      <c r="EB19" s="56">
        <f t="shared" si="123"/>
        <v>0</v>
      </c>
      <c r="EC19" s="56">
        <f t="shared" si="124"/>
        <v>0</v>
      </c>
    </row>
    <row r="20" spans="1:133" s="57" customFormat="1" ht="19.5" x14ac:dyDescent="0.25">
      <c r="A20" s="40"/>
      <c r="B20" s="68"/>
      <c r="C20" s="68">
        <v>2.5000000000000001E-2</v>
      </c>
      <c r="D20" s="69">
        <v>2.5000000000000001E-2</v>
      </c>
      <c r="E20" s="69"/>
      <c r="F20" s="43" t="s">
        <v>42</v>
      </c>
      <c r="G20" s="60" t="s">
        <v>43</v>
      </c>
      <c r="H20" s="45">
        <f t="shared" si="2"/>
        <v>0</v>
      </c>
      <c r="I20" s="46">
        <f>B20*$I$6</f>
        <v>0</v>
      </c>
      <c r="J20" s="46">
        <f t="shared" si="126"/>
        <v>0.70000000000000007</v>
      </c>
      <c r="K20" s="46">
        <f t="shared" si="7"/>
        <v>0</v>
      </c>
      <c r="L20" s="46">
        <f t="shared" si="125"/>
        <v>0</v>
      </c>
      <c r="M20" s="46">
        <f t="shared" si="4"/>
        <v>0</v>
      </c>
      <c r="N20" s="46">
        <f>B20*$N$6</f>
        <v>0</v>
      </c>
      <c r="O20" s="46">
        <f t="shared" si="5"/>
        <v>0.32500000000000001</v>
      </c>
      <c r="P20" s="46">
        <f t="shared" si="6"/>
        <v>0</v>
      </c>
      <c r="Q20" s="46">
        <f t="shared" si="8"/>
        <v>0</v>
      </c>
      <c r="R20" s="46">
        <f t="shared" si="9"/>
        <v>0</v>
      </c>
      <c r="S20" s="46">
        <f t="shared" si="10"/>
        <v>0</v>
      </c>
      <c r="T20" s="46">
        <f t="shared" si="11"/>
        <v>0</v>
      </c>
      <c r="U20" s="46">
        <f t="shared" si="12"/>
        <v>0</v>
      </c>
      <c r="V20" s="47">
        <f t="shared" si="13"/>
        <v>0</v>
      </c>
      <c r="W20" s="48">
        <f t="shared" si="14"/>
        <v>0</v>
      </c>
      <c r="X20" s="46">
        <f t="shared" si="15"/>
        <v>0</v>
      </c>
      <c r="Y20" s="46">
        <f t="shared" si="16"/>
        <v>0.70000000000000007</v>
      </c>
      <c r="Z20" s="46">
        <f t="shared" si="17"/>
        <v>0</v>
      </c>
      <c r="AA20" s="46">
        <f t="shared" si="18"/>
        <v>0</v>
      </c>
      <c r="AB20" s="46">
        <f t="shared" si="19"/>
        <v>0</v>
      </c>
      <c r="AC20" s="46">
        <f t="shared" si="20"/>
        <v>0</v>
      </c>
      <c r="AD20" s="46">
        <f t="shared" si="21"/>
        <v>0.65</v>
      </c>
      <c r="AE20" s="46">
        <f t="shared" si="22"/>
        <v>0</v>
      </c>
      <c r="AF20" s="46">
        <f t="shared" si="23"/>
        <v>0</v>
      </c>
      <c r="AG20" s="46">
        <f t="shared" si="24"/>
        <v>0</v>
      </c>
      <c r="AH20" s="46">
        <f t="shared" si="25"/>
        <v>0</v>
      </c>
      <c r="AI20" s="46">
        <f t="shared" si="26"/>
        <v>0</v>
      </c>
      <c r="AJ20" s="46">
        <f t="shared" si="27"/>
        <v>0</v>
      </c>
      <c r="AK20" s="46">
        <f t="shared" si="28"/>
        <v>0</v>
      </c>
      <c r="AL20" s="45">
        <f t="shared" si="29"/>
        <v>0</v>
      </c>
      <c r="AM20" s="46">
        <f t="shared" si="30"/>
        <v>0</v>
      </c>
      <c r="AN20" s="46">
        <f t="shared" si="31"/>
        <v>0.70000000000000007</v>
      </c>
      <c r="AO20" s="46">
        <f t="shared" si="32"/>
        <v>0</v>
      </c>
      <c r="AP20" s="46">
        <f t="shared" si="33"/>
        <v>0</v>
      </c>
      <c r="AQ20" s="46">
        <f t="shared" si="34"/>
        <v>0</v>
      </c>
      <c r="AR20" s="46">
        <f t="shared" si="35"/>
        <v>0</v>
      </c>
      <c r="AS20" s="46">
        <f t="shared" si="36"/>
        <v>0.70000000000000007</v>
      </c>
      <c r="AT20" s="46">
        <f t="shared" si="37"/>
        <v>0</v>
      </c>
      <c r="AU20" s="46">
        <f t="shared" si="38"/>
        <v>0</v>
      </c>
      <c r="AV20" s="46">
        <f t="shared" si="39"/>
        <v>0</v>
      </c>
      <c r="AW20" s="46">
        <f t="shared" si="40"/>
        <v>0</v>
      </c>
      <c r="AX20" s="46">
        <f t="shared" si="41"/>
        <v>0</v>
      </c>
      <c r="AY20" s="46">
        <f t="shared" si="42"/>
        <v>0</v>
      </c>
      <c r="AZ20" s="47">
        <f t="shared" si="43"/>
        <v>0</v>
      </c>
      <c r="BA20" s="45">
        <f t="shared" si="44"/>
        <v>0</v>
      </c>
      <c r="BB20" s="46">
        <f t="shared" si="45"/>
        <v>0</v>
      </c>
      <c r="BC20" s="46">
        <f t="shared" si="46"/>
        <v>0.70000000000000007</v>
      </c>
      <c r="BD20" s="46">
        <f t="shared" si="47"/>
        <v>0</v>
      </c>
      <c r="BE20" s="46">
        <f t="shared" si="48"/>
        <v>0</v>
      </c>
      <c r="BF20" s="46">
        <f t="shared" si="49"/>
        <v>0</v>
      </c>
      <c r="BG20" s="46">
        <f t="shared" si="50"/>
        <v>0</v>
      </c>
      <c r="BH20" s="46">
        <f t="shared" si="51"/>
        <v>0.67500000000000004</v>
      </c>
      <c r="BI20" s="46">
        <f t="shared" si="52"/>
        <v>0</v>
      </c>
      <c r="BJ20" s="46">
        <f t="shared" si="53"/>
        <v>0</v>
      </c>
      <c r="BK20" s="46">
        <f t="shared" si="54"/>
        <v>0</v>
      </c>
      <c r="BL20" s="46">
        <f t="shared" si="55"/>
        <v>0</v>
      </c>
      <c r="BM20" s="46">
        <f t="shared" si="56"/>
        <v>0</v>
      </c>
      <c r="BN20" s="46">
        <f t="shared" si="57"/>
        <v>0</v>
      </c>
      <c r="BO20" s="47">
        <f t="shared" si="58"/>
        <v>0</v>
      </c>
      <c r="BP20" s="48">
        <f t="shared" si="59"/>
        <v>0</v>
      </c>
      <c r="BQ20" s="46">
        <f t="shared" si="60"/>
        <v>0</v>
      </c>
      <c r="BR20" s="46">
        <f t="shared" si="61"/>
        <v>0</v>
      </c>
      <c r="BS20" s="46">
        <f t="shared" si="62"/>
        <v>0</v>
      </c>
      <c r="BT20" s="46">
        <f t="shared" si="63"/>
        <v>0</v>
      </c>
      <c r="BU20" s="46">
        <f t="shared" si="64"/>
        <v>0</v>
      </c>
      <c r="BV20" s="46">
        <f t="shared" si="65"/>
        <v>0</v>
      </c>
      <c r="BW20" s="46">
        <f t="shared" si="66"/>
        <v>0.35000000000000003</v>
      </c>
      <c r="BX20" s="46">
        <f t="shared" si="67"/>
        <v>0</v>
      </c>
      <c r="BY20" s="46">
        <f t="shared" si="68"/>
        <v>0</v>
      </c>
      <c r="BZ20" s="46">
        <f t="shared" si="69"/>
        <v>0</v>
      </c>
      <c r="CA20" s="46">
        <f t="shared" si="70"/>
        <v>0</v>
      </c>
      <c r="CB20" s="46">
        <f t="shared" si="71"/>
        <v>0</v>
      </c>
      <c r="CC20" s="46">
        <f t="shared" si="72"/>
        <v>0</v>
      </c>
      <c r="CD20" s="46">
        <f t="shared" si="73"/>
        <v>0</v>
      </c>
      <c r="CE20" s="45">
        <f t="shared" si="74"/>
        <v>0</v>
      </c>
      <c r="CF20" s="46">
        <f t="shared" si="75"/>
        <v>0</v>
      </c>
      <c r="CG20" s="46">
        <f t="shared" si="76"/>
        <v>0.35000000000000003</v>
      </c>
      <c r="CH20" s="46">
        <f t="shared" si="77"/>
        <v>0</v>
      </c>
      <c r="CI20" s="46">
        <f t="shared" si="78"/>
        <v>0</v>
      </c>
      <c r="CJ20" s="46">
        <f t="shared" si="79"/>
        <v>0</v>
      </c>
      <c r="CK20" s="46">
        <f t="shared" si="80"/>
        <v>0</v>
      </c>
      <c r="CL20" s="46">
        <f t="shared" si="81"/>
        <v>0.32500000000000001</v>
      </c>
      <c r="CM20" s="46">
        <f t="shared" si="82"/>
        <v>0</v>
      </c>
      <c r="CN20" s="46">
        <f t="shared" si="83"/>
        <v>0</v>
      </c>
      <c r="CO20" s="46">
        <f t="shared" si="84"/>
        <v>0</v>
      </c>
      <c r="CP20" s="46">
        <f t="shared" si="85"/>
        <v>0</v>
      </c>
      <c r="CQ20" s="46">
        <f t="shared" si="86"/>
        <v>0</v>
      </c>
      <c r="CR20" s="46">
        <f t="shared" si="87"/>
        <v>0</v>
      </c>
      <c r="CS20" s="46">
        <f t="shared" si="88"/>
        <v>0</v>
      </c>
      <c r="CT20" s="45">
        <f t="shared" si="89"/>
        <v>0</v>
      </c>
      <c r="CU20" s="46">
        <f t="shared" si="90"/>
        <v>0</v>
      </c>
      <c r="CV20" s="46">
        <f t="shared" si="91"/>
        <v>0</v>
      </c>
      <c r="CW20" s="46">
        <f t="shared" si="92"/>
        <v>0</v>
      </c>
      <c r="CX20" s="46">
        <f t="shared" si="93"/>
        <v>0</v>
      </c>
      <c r="CY20" s="46">
        <f t="shared" si="94"/>
        <v>0</v>
      </c>
      <c r="CZ20" s="46">
        <f t="shared" si="95"/>
        <v>0</v>
      </c>
      <c r="DA20" s="46">
        <f t="shared" si="96"/>
        <v>0</v>
      </c>
      <c r="DB20" s="46">
        <f t="shared" si="97"/>
        <v>0</v>
      </c>
      <c r="DC20" s="46">
        <f t="shared" si="98"/>
        <v>0</v>
      </c>
      <c r="DD20" s="46">
        <f t="shared" si="99"/>
        <v>0</v>
      </c>
      <c r="DE20" s="46">
        <f t="shared" si="100"/>
        <v>0</v>
      </c>
      <c r="DF20" s="46">
        <f t="shared" si="101"/>
        <v>0</v>
      </c>
      <c r="DG20" s="46">
        <f t="shared" si="102"/>
        <v>0</v>
      </c>
      <c r="DH20" s="47">
        <f t="shared" si="103"/>
        <v>0</v>
      </c>
      <c r="DI20" s="49">
        <f t="shared" si="104"/>
        <v>1</v>
      </c>
      <c r="DJ20" s="50">
        <f t="shared" si="105"/>
        <v>1</v>
      </c>
      <c r="DK20" s="50">
        <f t="shared" si="106"/>
        <v>0</v>
      </c>
      <c r="DL20" s="51">
        <f t="shared" si="107"/>
        <v>1</v>
      </c>
      <c r="DM20" s="51">
        <f t="shared" si="108"/>
        <v>1</v>
      </c>
      <c r="DN20" s="51">
        <f t="shared" si="109"/>
        <v>0</v>
      </c>
      <c r="DO20" s="52">
        <f t="shared" si="110"/>
        <v>1</v>
      </c>
      <c r="DP20" s="52">
        <f t="shared" si="111"/>
        <v>1</v>
      </c>
      <c r="DQ20" s="52">
        <f t="shared" si="112"/>
        <v>0</v>
      </c>
      <c r="DR20" s="53">
        <f t="shared" si="113"/>
        <v>1</v>
      </c>
      <c r="DS20" s="53">
        <f t="shared" si="114"/>
        <v>1</v>
      </c>
      <c r="DT20" s="53">
        <f t="shared" si="115"/>
        <v>0</v>
      </c>
      <c r="DU20" s="54">
        <f t="shared" si="116"/>
        <v>0</v>
      </c>
      <c r="DV20" s="54">
        <f t="shared" si="117"/>
        <v>1</v>
      </c>
      <c r="DW20" s="54">
        <f t="shared" si="118"/>
        <v>0</v>
      </c>
      <c r="DX20" s="55">
        <f t="shared" si="119"/>
        <v>1</v>
      </c>
      <c r="DY20" s="55">
        <f t="shared" si="120"/>
        <v>1</v>
      </c>
      <c r="DZ20" s="55">
        <f t="shared" si="121"/>
        <v>0</v>
      </c>
      <c r="EA20" s="56">
        <f t="shared" si="122"/>
        <v>0</v>
      </c>
      <c r="EB20" s="56">
        <f t="shared" si="123"/>
        <v>0</v>
      </c>
      <c r="EC20" s="56">
        <f t="shared" si="124"/>
        <v>0</v>
      </c>
    </row>
    <row r="21" spans="1:133" s="57" customFormat="1" ht="19.5" x14ac:dyDescent="0.25">
      <c r="A21" s="40"/>
      <c r="B21" s="70">
        <v>9.1999999999999993</v>
      </c>
      <c r="C21" s="71"/>
      <c r="D21" s="72"/>
      <c r="E21" s="72"/>
      <c r="F21" s="43" t="s">
        <v>44</v>
      </c>
      <c r="G21" s="60" t="s">
        <v>45</v>
      </c>
      <c r="H21" s="45">
        <f t="shared" si="2"/>
        <v>0</v>
      </c>
      <c r="I21" s="46">
        <f>B21*$I$6</f>
        <v>0</v>
      </c>
      <c r="J21" s="46">
        <f t="shared" si="126"/>
        <v>0</v>
      </c>
      <c r="K21" s="46">
        <f t="shared" si="7"/>
        <v>0</v>
      </c>
      <c r="L21" s="46">
        <f t="shared" si="125"/>
        <v>0</v>
      </c>
      <c r="M21" s="46">
        <f t="shared" si="4"/>
        <v>0</v>
      </c>
      <c r="N21" s="46">
        <f>B21*$N$6</f>
        <v>0</v>
      </c>
      <c r="O21" s="46">
        <f t="shared" si="5"/>
        <v>0</v>
      </c>
      <c r="P21" s="46">
        <f t="shared" si="6"/>
        <v>0</v>
      </c>
      <c r="Q21" s="46">
        <f t="shared" si="8"/>
        <v>0</v>
      </c>
      <c r="R21" s="46">
        <f t="shared" si="9"/>
        <v>0</v>
      </c>
      <c r="S21" s="46">
        <f t="shared" si="10"/>
        <v>0</v>
      </c>
      <c r="T21" s="46">
        <f t="shared" si="11"/>
        <v>0</v>
      </c>
      <c r="U21" s="46">
        <f t="shared" si="12"/>
        <v>0</v>
      </c>
      <c r="V21" s="47">
        <f t="shared" si="13"/>
        <v>0</v>
      </c>
      <c r="W21" s="48">
        <f t="shared" si="14"/>
        <v>0</v>
      </c>
      <c r="X21" s="46">
        <f t="shared" si="15"/>
        <v>0</v>
      </c>
      <c r="Y21" s="46">
        <f t="shared" si="16"/>
        <v>0</v>
      </c>
      <c r="Z21" s="46">
        <f t="shared" si="17"/>
        <v>0</v>
      </c>
      <c r="AA21" s="46">
        <f t="shared" si="18"/>
        <v>0</v>
      </c>
      <c r="AB21" s="46">
        <f t="shared" si="19"/>
        <v>0</v>
      </c>
      <c r="AC21" s="46">
        <f t="shared" si="20"/>
        <v>0</v>
      </c>
      <c r="AD21" s="46">
        <f t="shared" si="21"/>
        <v>0</v>
      </c>
      <c r="AE21" s="46">
        <f t="shared" si="22"/>
        <v>0</v>
      </c>
      <c r="AF21" s="46">
        <f t="shared" si="23"/>
        <v>0</v>
      </c>
      <c r="AG21" s="46">
        <f t="shared" si="24"/>
        <v>0</v>
      </c>
      <c r="AH21" s="46">
        <f t="shared" si="25"/>
        <v>0</v>
      </c>
      <c r="AI21" s="46">
        <f t="shared" si="26"/>
        <v>0</v>
      </c>
      <c r="AJ21" s="46">
        <f t="shared" si="27"/>
        <v>0</v>
      </c>
      <c r="AK21" s="46">
        <f t="shared" si="28"/>
        <v>0</v>
      </c>
      <c r="AL21" s="45">
        <f t="shared" si="29"/>
        <v>0</v>
      </c>
      <c r="AM21" s="46">
        <f t="shared" si="30"/>
        <v>0</v>
      </c>
      <c r="AN21" s="46">
        <f t="shared" si="31"/>
        <v>0</v>
      </c>
      <c r="AO21" s="46">
        <f t="shared" si="32"/>
        <v>0</v>
      </c>
      <c r="AP21" s="46">
        <f t="shared" si="33"/>
        <v>0</v>
      </c>
      <c r="AQ21" s="46">
        <f t="shared" si="34"/>
        <v>0</v>
      </c>
      <c r="AR21" s="46">
        <f t="shared" si="35"/>
        <v>0</v>
      </c>
      <c r="AS21" s="46">
        <f t="shared" si="36"/>
        <v>0</v>
      </c>
      <c r="AT21" s="46">
        <f t="shared" si="37"/>
        <v>0</v>
      </c>
      <c r="AU21" s="46">
        <f t="shared" si="38"/>
        <v>0</v>
      </c>
      <c r="AV21" s="46">
        <f t="shared" si="39"/>
        <v>0</v>
      </c>
      <c r="AW21" s="46">
        <f t="shared" si="40"/>
        <v>0</v>
      </c>
      <c r="AX21" s="46">
        <f t="shared" si="41"/>
        <v>0</v>
      </c>
      <c r="AY21" s="46">
        <f t="shared" si="42"/>
        <v>0</v>
      </c>
      <c r="AZ21" s="47">
        <f t="shared" si="43"/>
        <v>0</v>
      </c>
      <c r="BA21" s="45">
        <f t="shared" si="44"/>
        <v>0</v>
      </c>
      <c r="BB21" s="46">
        <f t="shared" si="45"/>
        <v>0</v>
      </c>
      <c r="BC21" s="46">
        <f t="shared" si="46"/>
        <v>0</v>
      </c>
      <c r="BD21" s="46">
        <f t="shared" si="47"/>
        <v>0</v>
      </c>
      <c r="BE21" s="46">
        <f t="shared" si="48"/>
        <v>0</v>
      </c>
      <c r="BF21" s="46">
        <f t="shared" si="49"/>
        <v>0</v>
      </c>
      <c r="BG21" s="46">
        <f t="shared" si="50"/>
        <v>0</v>
      </c>
      <c r="BH21" s="46">
        <f t="shared" si="51"/>
        <v>0</v>
      </c>
      <c r="BI21" s="46">
        <f t="shared" si="52"/>
        <v>0</v>
      </c>
      <c r="BJ21" s="46">
        <f t="shared" si="53"/>
        <v>0</v>
      </c>
      <c r="BK21" s="46">
        <f t="shared" si="54"/>
        <v>0</v>
      </c>
      <c r="BL21" s="46">
        <f t="shared" si="55"/>
        <v>0</v>
      </c>
      <c r="BM21" s="46">
        <f t="shared" si="56"/>
        <v>0</v>
      </c>
      <c r="BN21" s="46">
        <f t="shared" si="57"/>
        <v>0</v>
      </c>
      <c r="BO21" s="47">
        <f t="shared" si="58"/>
        <v>0</v>
      </c>
      <c r="BP21" s="48">
        <f t="shared" si="59"/>
        <v>0</v>
      </c>
      <c r="BQ21" s="46">
        <f t="shared" si="60"/>
        <v>257.59999999999997</v>
      </c>
      <c r="BR21" s="46">
        <f t="shared" si="61"/>
        <v>0</v>
      </c>
      <c r="BS21" s="46">
        <f t="shared" si="62"/>
        <v>0</v>
      </c>
      <c r="BT21" s="46">
        <f t="shared" si="63"/>
        <v>0</v>
      </c>
      <c r="BU21" s="46">
        <f t="shared" si="64"/>
        <v>0</v>
      </c>
      <c r="BV21" s="46">
        <f t="shared" si="65"/>
        <v>128.79999999999998</v>
      </c>
      <c r="BW21" s="46">
        <f t="shared" si="66"/>
        <v>0</v>
      </c>
      <c r="BX21" s="46">
        <f t="shared" si="67"/>
        <v>0</v>
      </c>
      <c r="BY21" s="46">
        <f t="shared" si="68"/>
        <v>0</v>
      </c>
      <c r="BZ21" s="46">
        <f t="shared" si="69"/>
        <v>0</v>
      </c>
      <c r="CA21" s="46">
        <f t="shared" si="70"/>
        <v>0</v>
      </c>
      <c r="CB21" s="46">
        <f t="shared" si="71"/>
        <v>0</v>
      </c>
      <c r="CC21" s="46">
        <f t="shared" si="72"/>
        <v>0</v>
      </c>
      <c r="CD21" s="46">
        <f t="shared" si="73"/>
        <v>0</v>
      </c>
      <c r="CE21" s="45">
        <f t="shared" si="74"/>
        <v>0</v>
      </c>
      <c r="CF21" s="46">
        <f t="shared" si="75"/>
        <v>128.79999999999998</v>
      </c>
      <c r="CG21" s="46">
        <f t="shared" si="76"/>
        <v>0</v>
      </c>
      <c r="CH21" s="46">
        <f t="shared" si="77"/>
        <v>0</v>
      </c>
      <c r="CI21" s="46">
        <f t="shared" si="78"/>
        <v>0</v>
      </c>
      <c r="CJ21" s="46">
        <f t="shared" si="79"/>
        <v>0</v>
      </c>
      <c r="CK21" s="46">
        <f t="shared" si="80"/>
        <v>119.6</v>
      </c>
      <c r="CL21" s="46">
        <f t="shared" si="81"/>
        <v>0</v>
      </c>
      <c r="CM21" s="46">
        <f t="shared" si="82"/>
        <v>0</v>
      </c>
      <c r="CN21" s="46">
        <f t="shared" si="83"/>
        <v>0</v>
      </c>
      <c r="CO21" s="46">
        <f t="shared" si="84"/>
        <v>0</v>
      </c>
      <c r="CP21" s="46">
        <f t="shared" si="85"/>
        <v>0</v>
      </c>
      <c r="CQ21" s="46">
        <f t="shared" si="86"/>
        <v>0</v>
      </c>
      <c r="CR21" s="46">
        <f t="shared" si="87"/>
        <v>0</v>
      </c>
      <c r="CS21" s="46">
        <f t="shared" si="88"/>
        <v>0</v>
      </c>
      <c r="CT21" s="45">
        <f t="shared" si="89"/>
        <v>0</v>
      </c>
      <c r="CU21" s="46">
        <f t="shared" si="90"/>
        <v>0</v>
      </c>
      <c r="CV21" s="46">
        <f t="shared" si="91"/>
        <v>0</v>
      </c>
      <c r="CW21" s="46">
        <f t="shared" si="92"/>
        <v>0</v>
      </c>
      <c r="CX21" s="46">
        <f t="shared" si="93"/>
        <v>0</v>
      </c>
      <c r="CY21" s="46">
        <f t="shared" si="94"/>
        <v>0</v>
      </c>
      <c r="CZ21" s="46">
        <f t="shared" si="95"/>
        <v>0</v>
      </c>
      <c r="DA21" s="46">
        <f t="shared" si="96"/>
        <v>0</v>
      </c>
      <c r="DB21" s="46">
        <f t="shared" si="97"/>
        <v>0</v>
      </c>
      <c r="DC21" s="46">
        <f t="shared" si="98"/>
        <v>0</v>
      </c>
      <c r="DD21" s="46">
        <f t="shared" si="99"/>
        <v>0</v>
      </c>
      <c r="DE21" s="46">
        <f t="shared" si="100"/>
        <v>0</v>
      </c>
      <c r="DF21" s="46">
        <f t="shared" si="101"/>
        <v>0</v>
      </c>
      <c r="DG21" s="46">
        <f t="shared" si="102"/>
        <v>0</v>
      </c>
      <c r="DH21" s="47">
        <f t="shared" si="103"/>
        <v>0</v>
      </c>
      <c r="DI21" s="49">
        <f t="shared" si="104"/>
        <v>0</v>
      </c>
      <c r="DJ21" s="50">
        <f t="shared" si="105"/>
        <v>0</v>
      </c>
      <c r="DK21" s="50">
        <f t="shared" si="106"/>
        <v>0</v>
      </c>
      <c r="DL21" s="51">
        <f t="shared" si="107"/>
        <v>0</v>
      </c>
      <c r="DM21" s="51">
        <f t="shared" si="108"/>
        <v>0</v>
      </c>
      <c r="DN21" s="51">
        <f t="shared" si="109"/>
        <v>0</v>
      </c>
      <c r="DO21" s="52">
        <f t="shared" si="110"/>
        <v>0</v>
      </c>
      <c r="DP21" s="52">
        <f t="shared" si="111"/>
        <v>0</v>
      </c>
      <c r="DQ21" s="52">
        <f t="shared" si="112"/>
        <v>0</v>
      </c>
      <c r="DR21" s="53">
        <f t="shared" si="113"/>
        <v>0</v>
      </c>
      <c r="DS21" s="53">
        <f t="shared" si="114"/>
        <v>0</v>
      </c>
      <c r="DT21" s="53">
        <f t="shared" si="115"/>
        <v>0</v>
      </c>
      <c r="DU21" s="54">
        <f t="shared" si="116"/>
        <v>258</v>
      </c>
      <c r="DV21" s="54">
        <f t="shared" si="117"/>
        <v>129</v>
      </c>
      <c r="DW21" s="54">
        <f t="shared" si="118"/>
        <v>0</v>
      </c>
      <c r="DX21" s="55">
        <f t="shared" si="119"/>
        <v>129</v>
      </c>
      <c r="DY21" s="55">
        <f t="shared" si="120"/>
        <v>120</v>
      </c>
      <c r="DZ21" s="55">
        <f t="shared" si="121"/>
        <v>0</v>
      </c>
      <c r="EA21" s="56">
        <f t="shared" si="122"/>
        <v>0</v>
      </c>
      <c r="EB21" s="56">
        <f t="shared" si="123"/>
        <v>0</v>
      </c>
      <c r="EC21" s="56">
        <f t="shared" si="124"/>
        <v>0</v>
      </c>
    </row>
    <row r="22" spans="1:133" s="57" customFormat="1" ht="19.5" x14ac:dyDescent="0.25">
      <c r="A22" s="40"/>
      <c r="B22" s="70"/>
      <c r="C22" s="71"/>
      <c r="D22" s="72"/>
      <c r="E22" s="72">
        <v>15</v>
      </c>
      <c r="F22" s="43" t="s">
        <v>46</v>
      </c>
      <c r="G22" s="60" t="s">
        <v>47</v>
      </c>
      <c r="H22" s="45">
        <f t="shared" si="2"/>
        <v>0</v>
      </c>
      <c r="I22" s="46">
        <f>B22*$I$6</f>
        <v>0</v>
      </c>
      <c r="J22" s="46">
        <f t="shared" si="126"/>
        <v>0</v>
      </c>
      <c r="K22" s="46">
        <f t="shared" si="7"/>
        <v>0</v>
      </c>
      <c r="L22" s="46">
        <f t="shared" si="125"/>
        <v>0</v>
      </c>
      <c r="M22" s="46">
        <f t="shared" si="4"/>
        <v>0</v>
      </c>
      <c r="N22" s="46">
        <f>B22*$N$6</f>
        <v>0</v>
      </c>
      <c r="O22" s="46">
        <f t="shared" si="5"/>
        <v>0</v>
      </c>
      <c r="P22" s="46">
        <f t="shared" si="6"/>
        <v>0</v>
      </c>
      <c r="Q22" s="46">
        <f t="shared" si="8"/>
        <v>210</v>
      </c>
      <c r="R22" s="46">
        <f t="shared" si="9"/>
        <v>0</v>
      </c>
      <c r="S22" s="46">
        <f t="shared" si="10"/>
        <v>0</v>
      </c>
      <c r="T22" s="46">
        <f t="shared" si="11"/>
        <v>0</v>
      </c>
      <c r="U22" s="46">
        <f t="shared" si="12"/>
        <v>0</v>
      </c>
      <c r="V22" s="47">
        <f t="shared" si="13"/>
        <v>0</v>
      </c>
      <c r="W22" s="48">
        <f t="shared" si="14"/>
        <v>0</v>
      </c>
      <c r="X22" s="46">
        <f t="shared" si="15"/>
        <v>0</v>
      </c>
      <c r="Y22" s="46">
        <f t="shared" si="16"/>
        <v>0</v>
      </c>
      <c r="Z22" s="46">
        <f t="shared" si="17"/>
        <v>0</v>
      </c>
      <c r="AA22" s="46">
        <f t="shared" si="18"/>
        <v>0</v>
      </c>
      <c r="AB22" s="46">
        <f t="shared" si="19"/>
        <v>0</v>
      </c>
      <c r="AC22" s="46">
        <f t="shared" si="20"/>
        <v>0</v>
      </c>
      <c r="AD22" s="46">
        <f t="shared" si="21"/>
        <v>0</v>
      </c>
      <c r="AE22" s="46">
        <f t="shared" si="22"/>
        <v>0</v>
      </c>
      <c r="AF22" s="46">
        <f t="shared" si="23"/>
        <v>0</v>
      </c>
      <c r="AG22" s="46">
        <f t="shared" si="24"/>
        <v>0</v>
      </c>
      <c r="AH22" s="46">
        <f t="shared" si="25"/>
        <v>0</v>
      </c>
      <c r="AI22" s="46">
        <f t="shared" si="26"/>
        <v>0</v>
      </c>
      <c r="AJ22" s="46">
        <f t="shared" si="27"/>
        <v>0</v>
      </c>
      <c r="AK22" s="46">
        <f t="shared" si="28"/>
        <v>0</v>
      </c>
      <c r="AL22" s="45">
        <f t="shared" si="29"/>
        <v>0</v>
      </c>
      <c r="AM22" s="46">
        <f t="shared" si="30"/>
        <v>0</v>
      </c>
      <c r="AN22" s="46">
        <f t="shared" si="31"/>
        <v>0</v>
      </c>
      <c r="AO22" s="46">
        <f t="shared" si="32"/>
        <v>0</v>
      </c>
      <c r="AP22" s="46">
        <f t="shared" si="33"/>
        <v>0</v>
      </c>
      <c r="AQ22" s="46">
        <f t="shared" si="34"/>
        <v>0</v>
      </c>
      <c r="AR22" s="46">
        <f t="shared" si="35"/>
        <v>0</v>
      </c>
      <c r="AS22" s="46">
        <f t="shared" si="36"/>
        <v>0</v>
      </c>
      <c r="AT22" s="46">
        <f t="shared" si="37"/>
        <v>0</v>
      </c>
      <c r="AU22" s="46">
        <f t="shared" si="38"/>
        <v>0</v>
      </c>
      <c r="AV22" s="46">
        <f t="shared" si="39"/>
        <v>0</v>
      </c>
      <c r="AW22" s="46">
        <f t="shared" si="40"/>
        <v>0</v>
      </c>
      <c r="AX22" s="46">
        <f t="shared" si="41"/>
        <v>0</v>
      </c>
      <c r="AY22" s="46">
        <f t="shared" si="42"/>
        <v>0</v>
      </c>
      <c r="AZ22" s="47">
        <f t="shared" si="43"/>
        <v>0</v>
      </c>
      <c r="BA22" s="45">
        <f t="shared" si="44"/>
        <v>0</v>
      </c>
      <c r="BB22" s="46">
        <f t="shared" si="45"/>
        <v>0</v>
      </c>
      <c r="BC22" s="46">
        <f t="shared" si="46"/>
        <v>0</v>
      </c>
      <c r="BD22" s="46">
        <f t="shared" si="47"/>
        <v>0</v>
      </c>
      <c r="BE22" s="46">
        <f t="shared" si="48"/>
        <v>0</v>
      </c>
      <c r="BF22" s="46">
        <f t="shared" si="49"/>
        <v>0</v>
      </c>
      <c r="BG22" s="46">
        <f t="shared" si="50"/>
        <v>0</v>
      </c>
      <c r="BH22" s="46">
        <f t="shared" si="51"/>
        <v>0</v>
      </c>
      <c r="BI22" s="46">
        <f t="shared" si="52"/>
        <v>0</v>
      </c>
      <c r="BJ22" s="46">
        <f t="shared" si="53"/>
        <v>0</v>
      </c>
      <c r="BK22" s="46">
        <f t="shared" si="54"/>
        <v>0</v>
      </c>
      <c r="BL22" s="46">
        <f t="shared" si="55"/>
        <v>0</v>
      </c>
      <c r="BM22" s="46">
        <f t="shared" si="56"/>
        <v>0</v>
      </c>
      <c r="BN22" s="46">
        <f t="shared" si="57"/>
        <v>0</v>
      </c>
      <c r="BO22" s="47">
        <f t="shared" si="58"/>
        <v>0</v>
      </c>
      <c r="BP22" s="48">
        <f t="shared" si="59"/>
        <v>0</v>
      </c>
      <c r="BQ22" s="46">
        <f t="shared" si="60"/>
        <v>0</v>
      </c>
      <c r="BR22" s="46">
        <f t="shared" si="61"/>
        <v>0</v>
      </c>
      <c r="BS22" s="46">
        <f t="shared" si="62"/>
        <v>0</v>
      </c>
      <c r="BT22" s="46">
        <f t="shared" si="63"/>
        <v>0</v>
      </c>
      <c r="BU22" s="46">
        <f t="shared" si="64"/>
        <v>0</v>
      </c>
      <c r="BV22" s="46">
        <f t="shared" si="65"/>
        <v>0</v>
      </c>
      <c r="BW22" s="46">
        <f t="shared" si="66"/>
        <v>0</v>
      </c>
      <c r="BX22" s="46">
        <f t="shared" si="67"/>
        <v>0</v>
      </c>
      <c r="BY22" s="46">
        <f t="shared" si="68"/>
        <v>0</v>
      </c>
      <c r="BZ22" s="46">
        <f t="shared" si="69"/>
        <v>0</v>
      </c>
      <c r="CA22" s="46">
        <f t="shared" si="70"/>
        <v>0</v>
      </c>
      <c r="CB22" s="46">
        <f t="shared" si="71"/>
        <v>0</v>
      </c>
      <c r="CC22" s="46">
        <f t="shared" si="72"/>
        <v>0</v>
      </c>
      <c r="CD22" s="46">
        <f t="shared" si="73"/>
        <v>0</v>
      </c>
      <c r="CE22" s="45">
        <f t="shared" si="74"/>
        <v>0</v>
      </c>
      <c r="CF22" s="46">
        <f t="shared" si="75"/>
        <v>0</v>
      </c>
      <c r="CG22" s="46">
        <f t="shared" si="76"/>
        <v>0</v>
      </c>
      <c r="CH22" s="46">
        <f t="shared" si="77"/>
        <v>0</v>
      </c>
      <c r="CI22" s="46">
        <f t="shared" si="78"/>
        <v>0</v>
      </c>
      <c r="CJ22" s="46">
        <f t="shared" si="79"/>
        <v>0</v>
      </c>
      <c r="CK22" s="46">
        <f t="shared" si="80"/>
        <v>0</v>
      </c>
      <c r="CL22" s="46">
        <f t="shared" si="81"/>
        <v>0</v>
      </c>
      <c r="CM22" s="46">
        <f t="shared" si="82"/>
        <v>0</v>
      </c>
      <c r="CN22" s="46">
        <f t="shared" si="83"/>
        <v>0</v>
      </c>
      <c r="CO22" s="46">
        <f t="shared" si="84"/>
        <v>0</v>
      </c>
      <c r="CP22" s="46">
        <f t="shared" si="85"/>
        <v>0</v>
      </c>
      <c r="CQ22" s="46">
        <f t="shared" si="86"/>
        <v>0</v>
      </c>
      <c r="CR22" s="46">
        <f t="shared" si="87"/>
        <v>0</v>
      </c>
      <c r="CS22" s="46">
        <f t="shared" si="88"/>
        <v>0</v>
      </c>
      <c r="CT22" s="45">
        <f t="shared" si="89"/>
        <v>0</v>
      </c>
      <c r="CU22" s="46">
        <f t="shared" si="90"/>
        <v>0</v>
      </c>
      <c r="CV22" s="46">
        <f t="shared" si="91"/>
        <v>0</v>
      </c>
      <c r="CW22" s="46">
        <f t="shared" si="92"/>
        <v>0</v>
      </c>
      <c r="CX22" s="46">
        <f t="shared" si="93"/>
        <v>0</v>
      </c>
      <c r="CY22" s="46">
        <f t="shared" si="94"/>
        <v>0</v>
      </c>
      <c r="CZ22" s="46">
        <f t="shared" si="95"/>
        <v>0</v>
      </c>
      <c r="DA22" s="46">
        <f t="shared" si="96"/>
        <v>0</v>
      </c>
      <c r="DB22" s="46">
        <f t="shared" si="97"/>
        <v>0</v>
      </c>
      <c r="DC22" s="46">
        <f t="shared" si="98"/>
        <v>0</v>
      </c>
      <c r="DD22" s="46">
        <f t="shared" si="99"/>
        <v>0</v>
      </c>
      <c r="DE22" s="46">
        <f t="shared" si="100"/>
        <v>0</v>
      </c>
      <c r="DF22" s="46">
        <f t="shared" si="101"/>
        <v>0</v>
      </c>
      <c r="DG22" s="46">
        <f t="shared" si="102"/>
        <v>0</v>
      </c>
      <c r="DH22" s="47">
        <f t="shared" si="103"/>
        <v>0</v>
      </c>
      <c r="DI22" s="49">
        <f t="shared" si="104"/>
        <v>0</v>
      </c>
      <c r="DJ22" s="50">
        <f t="shared" si="105"/>
        <v>210</v>
      </c>
      <c r="DK22" s="50">
        <f t="shared" si="106"/>
        <v>0</v>
      </c>
      <c r="DL22" s="51">
        <f t="shared" si="107"/>
        <v>0</v>
      </c>
      <c r="DM22" s="51">
        <f t="shared" si="108"/>
        <v>0</v>
      </c>
      <c r="DN22" s="51">
        <f t="shared" si="109"/>
        <v>0</v>
      </c>
      <c r="DO22" s="52">
        <f t="shared" si="110"/>
        <v>0</v>
      </c>
      <c r="DP22" s="52">
        <f t="shared" si="111"/>
        <v>0</v>
      </c>
      <c r="DQ22" s="52">
        <f t="shared" si="112"/>
        <v>0</v>
      </c>
      <c r="DR22" s="53">
        <f t="shared" si="113"/>
        <v>0</v>
      </c>
      <c r="DS22" s="53">
        <f t="shared" si="114"/>
        <v>0</v>
      </c>
      <c r="DT22" s="53">
        <f t="shared" si="115"/>
        <v>0</v>
      </c>
      <c r="DU22" s="54">
        <f t="shared" si="116"/>
        <v>0</v>
      </c>
      <c r="DV22" s="54">
        <f t="shared" si="117"/>
        <v>0</v>
      </c>
      <c r="DW22" s="54">
        <f t="shared" si="118"/>
        <v>0</v>
      </c>
      <c r="DX22" s="55">
        <f t="shared" si="119"/>
        <v>0</v>
      </c>
      <c r="DY22" s="55">
        <f t="shared" si="120"/>
        <v>0</v>
      </c>
      <c r="DZ22" s="55">
        <f t="shared" si="121"/>
        <v>0</v>
      </c>
      <c r="EA22" s="56">
        <f t="shared" si="122"/>
        <v>0</v>
      </c>
      <c r="EB22" s="56">
        <f t="shared" si="123"/>
        <v>0</v>
      </c>
      <c r="EC22" s="56">
        <f t="shared" si="124"/>
        <v>0</v>
      </c>
    </row>
    <row r="23" spans="1:133" s="57" customFormat="1" ht="19.5" x14ac:dyDescent="0.25">
      <c r="A23" s="40"/>
      <c r="B23" s="71"/>
      <c r="C23" s="70">
        <v>0.23</v>
      </c>
      <c r="D23" s="73">
        <v>0.23</v>
      </c>
      <c r="E23" s="73"/>
      <c r="F23" s="43" t="s">
        <v>48</v>
      </c>
      <c r="G23" s="60" t="s">
        <v>49</v>
      </c>
      <c r="H23" s="45">
        <f t="shared" si="2"/>
        <v>0</v>
      </c>
      <c r="I23" s="46">
        <f t="shared" si="3"/>
        <v>0</v>
      </c>
      <c r="J23" s="46">
        <f>C23*$J$6</f>
        <v>6.44</v>
      </c>
      <c r="K23" s="46">
        <f t="shared" si="7"/>
        <v>0</v>
      </c>
      <c r="L23" s="46">
        <f t="shared" si="125"/>
        <v>0</v>
      </c>
      <c r="M23" s="46">
        <f t="shared" si="4"/>
        <v>0</v>
      </c>
      <c r="N23" s="46">
        <f>A23*$N$6</f>
        <v>0</v>
      </c>
      <c r="O23" s="46">
        <f t="shared" si="5"/>
        <v>2.99</v>
      </c>
      <c r="P23" s="46">
        <f t="shared" si="6"/>
        <v>0</v>
      </c>
      <c r="Q23" s="46">
        <f t="shared" si="8"/>
        <v>0</v>
      </c>
      <c r="R23" s="46">
        <f t="shared" si="9"/>
        <v>0</v>
      </c>
      <c r="S23" s="46">
        <f t="shared" si="10"/>
        <v>0</v>
      </c>
      <c r="T23" s="46">
        <f t="shared" si="11"/>
        <v>0</v>
      </c>
      <c r="U23" s="46">
        <f t="shared" si="12"/>
        <v>0</v>
      </c>
      <c r="V23" s="47">
        <f t="shared" si="13"/>
        <v>0</v>
      </c>
      <c r="W23" s="48">
        <f t="shared" si="14"/>
        <v>0</v>
      </c>
      <c r="X23" s="46">
        <f t="shared" si="15"/>
        <v>0</v>
      </c>
      <c r="Y23" s="46">
        <f t="shared" si="16"/>
        <v>6.44</v>
      </c>
      <c r="Z23" s="46">
        <f t="shared" si="17"/>
        <v>0</v>
      </c>
      <c r="AA23" s="46">
        <f t="shared" si="18"/>
        <v>0</v>
      </c>
      <c r="AB23" s="46">
        <f t="shared" si="19"/>
        <v>0</v>
      </c>
      <c r="AC23" s="46">
        <f t="shared" si="20"/>
        <v>0</v>
      </c>
      <c r="AD23" s="46">
        <f t="shared" si="21"/>
        <v>5.98</v>
      </c>
      <c r="AE23" s="46">
        <f t="shared" si="22"/>
        <v>0</v>
      </c>
      <c r="AF23" s="46">
        <f t="shared" si="23"/>
        <v>0</v>
      </c>
      <c r="AG23" s="46">
        <f t="shared" si="24"/>
        <v>0</v>
      </c>
      <c r="AH23" s="46">
        <f t="shared" si="25"/>
        <v>0</v>
      </c>
      <c r="AI23" s="46">
        <f t="shared" si="26"/>
        <v>0</v>
      </c>
      <c r="AJ23" s="46">
        <f t="shared" si="27"/>
        <v>0</v>
      </c>
      <c r="AK23" s="46">
        <f t="shared" si="28"/>
        <v>0</v>
      </c>
      <c r="AL23" s="45">
        <f t="shared" si="29"/>
        <v>0</v>
      </c>
      <c r="AM23" s="46">
        <f t="shared" si="30"/>
        <v>0</v>
      </c>
      <c r="AN23" s="46">
        <f t="shared" si="31"/>
        <v>6.44</v>
      </c>
      <c r="AO23" s="46">
        <f t="shared" si="32"/>
        <v>0</v>
      </c>
      <c r="AP23" s="46">
        <f t="shared" si="33"/>
        <v>0</v>
      </c>
      <c r="AQ23" s="46">
        <f t="shared" si="34"/>
        <v>0</v>
      </c>
      <c r="AR23" s="46">
        <f t="shared" si="35"/>
        <v>0</v>
      </c>
      <c r="AS23" s="46">
        <f t="shared" si="36"/>
        <v>6.44</v>
      </c>
      <c r="AT23" s="46">
        <f t="shared" si="37"/>
        <v>0</v>
      </c>
      <c r="AU23" s="46">
        <f t="shared" si="38"/>
        <v>0</v>
      </c>
      <c r="AV23" s="46">
        <f t="shared" si="39"/>
        <v>0</v>
      </c>
      <c r="AW23" s="46">
        <f t="shared" si="40"/>
        <v>0</v>
      </c>
      <c r="AX23" s="46">
        <f t="shared" si="41"/>
        <v>0</v>
      </c>
      <c r="AY23" s="46">
        <f t="shared" si="42"/>
        <v>0</v>
      </c>
      <c r="AZ23" s="47">
        <f t="shared" si="43"/>
        <v>0</v>
      </c>
      <c r="BA23" s="45">
        <f t="shared" si="44"/>
        <v>0</v>
      </c>
      <c r="BB23" s="46">
        <f t="shared" si="45"/>
        <v>0</v>
      </c>
      <c r="BC23" s="46">
        <f t="shared" si="46"/>
        <v>6.44</v>
      </c>
      <c r="BD23" s="46">
        <f t="shared" si="47"/>
        <v>0</v>
      </c>
      <c r="BE23" s="46">
        <f t="shared" si="48"/>
        <v>0</v>
      </c>
      <c r="BF23" s="46">
        <f t="shared" si="49"/>
        <v>0</v>
      </c>
      <c r="BG23" s="46">
        <f t="shared" si="50"/>
        <v>0</v>
      </c>
      <c r="BH23" s="46">
        <f t="shared" si="51"/>
        <v>6.21</v>
      </c>
      <c r="BI23" s="46">
        <f t="shared" si="52"/>
        <v>0</v>
      </c>
      <c r="BJ23" s="46">
        <f t="shared" si="53"/>
        <v>0</v>
      </c>
      <c r="BK23" s="46">
        <f t="shared" si="54"/>
        <v>0</v>
      </c>
      <c r="BL23" s="46">
        <f t="shared" si="55"/>
        <v>0</v>
      </c>
      <c r="BM23" s="46">
        <f t="shared" si="56"/>
        <v>0</v>
      </c>
      <c r="BN23" s="46">
        <f t="shared" si="57"/>
        <v>0</v>
      </c>
      <c r="BO23" s="47">
        <f t="shared" si="58"/>
        <v>0</v>
      </c>
      <c r="BP23" s="48">
        <f t="shared" si="59"/>
        <v>0</v>
      </c>
      <c r="BQ23" s="46">
        <f t="shared" si="60"/>
        <v>0</v>
      </c>
      <c r="BR23" s="46">
        <f t="shared" si="61"/>
        <v>0</v>
      </c>
      <c r="BS23" s="46">
        <f t="shared" si="62"/>
        <v>0</v>
      </c>
      <c r="BT23" s="46">
        <f t="shared" si="63"/>
        <v>0</v>
      </c>
      <c r="BU23" s="46">
        <f t="shared" si="64"/>
        <v>0</v>
      </c>
      <c r="BV23" s="46">
        <f t="shared" si="65"/>
        <v>0</v>
      </c>
      <c r="BW23" s="46">
        <f t="shared" si="66"/>
        <v>3.22</v>
      </c>
      <c r="BX23" s="46">
        <f t="shared" si="67"/>
        <v>0</v>
      </c>
      <c r="BY23" s="46">
        <f t="shared" si="68"/>
        <v>0</v>
      </c>
      <c r="BZ23" s="46">
        <f t="shared" si="69"/>
        <v>0</v>
      </c>
      <c r="CA23" s="46">
        <f t="shared" si="70"/>
        <v>0</v>
      </c>
      <c r="CB23" s="46">
        <f t="shared" si="71"/>
        <v>0</v>
      </c>
      <c r="CC23" s="46">
        <f t="shared" si="72"/>
        <v>0</v>
      </c>
      <c r="CD23" s="46">
        <f t="shared" si="73"/>
        <v>0</v>
      </c>
      <c r="CE23" s="45">
        <f t="shared" si="74"/>
        <v>0</v>
      </c>
      <c r="CF23" s="46">
        <f t="shared" si="75"/>
        <v>0</v>
      </c>
      <c r="CG23" s="46">
        <f t="shared" si="76"/>
        <v>3.22</v>
      </c>
      <c r="CH23" s="46">
        <f t="shared" si="77"/>
        <v>0</v>
      </c>
      <c r="CI23" s="46">
        <f t="shared" si="78"/>
        <v>0</v>
      </c>
      <c r="CJ23" s="46">
        <f t="shared" si="79"/>
        <v>0</v>
      </c>
      <c r="CK23" s="46">
        <f t="shared" si="80"/>
        <v>0</v>
      </c>
      <c r="CL23" s="46">
        <f t="shared" si="81"/>
        <v>2.99</v>
      </c>
      <c r="CM23" s="46">
        <f t="shared" si="82"/>
        <v>0</v>
      </c>
      <c r="CN23" s="46">
        <f t="shared" si="83"/>
        <v>0</v>
      </c>
      <c r="CO23" s="46">
        <f t="shared" si="84"/>
        <v>0</v>
      </c>
      <c r="CP23" s="46">
        <f t="shared" si="85"/>
        <v>0</v>
      </c>
      <c r="CQ23" s="46">
        <f t="shared" si="86"/>
        <v>0</v>
      </c>
      <c r="CR23" s="46">
        <f t="shared" si="87"/>
        <v>0</v>
      </c>
      <c r="CS23" s="46">
        <f t="shared" si="88"/>
        <v>0</v>
      </c>
      <c r="CT23" s="45">
        <f t="shared" si="89"/>
        <v>0</v>
      </c>
      <c r="CU23" s="46">
        <f t="shared" si="90"/>
        <v>0</v>
      </c>
      <c r="CV23" s="46">
        <f t="shared" si="91"/>
        <v>0</v>
      </c>
      <c r="CW23" s="46">
        <f t="shared" si="92"/>
        <v>0</v>
      </c>
      <c r="CX23" s="46">
        <f t="shared" si="93"/>
        <v>0</v>
      </c>
      <c r="CY23" s="46">
        <f t="shared" si="94"/>
        <v>0</v>
      </c>
      <c r="CZ23" s="46">
        <f t="shared" si="95"/>
        <v>0</v>
      </c>
      <c r="DA23" s="46">
        <f t="shared" si="96"/>
        <v>0</v>
      </c>
      <c r="DB23" s="46">
        <f t="shared" si="97"/>
        <v>0</v>
      </c>
      <c r="DC23" s="46">
        <f t="shared" si="98"/>
        <v>0</v>
      </c>
      <c r="DD23" s="46">
        <f t="shared" si="99"/>
        <v>0</v>
      </c>
      <c r="DE23" s="46">
        <f t="shared" si="100"/>
        <v>0</v>
      </c>
      <c r="DF23" s="46">
        <f t="shared" si="101"/>
        <v>0</v>
      </c>
      <c r="DG23" s="46">
        <f t="shared" si="102"/>
        <v>0</v>
      </c>
      <c r="DH23" s="47">
        <f t="shared" si="103"/>
        <v>0</v>
      </c>
      <c r="DI23" s="49">
        <f t="shared" si="104"/>
        <v>7</v>
      </c>
      <c r="DJ23" s="50">
        <f t="shared" si="105"/>
        <v>3</v>
      </c>
      <c r="DK23" s="50">
        <f t="shared" si="106"/>
        <v>0</v>
      </c>
      <c r="DL23" s="51">
        <f t="shared" si="107"/>
        <v>7</v>
      </c>
      <c r="DM23" s="51">
        <f t="shared" si="108"/>
        <v>6</v>
      </c>
      <c r="DN23" s="51">
        <f t="shared" si="109"/>
        <v>0</v>
      </c>
      <c r="DO23" s="52">
        <f t="shared" si="110"/>
        <v>7</v>
      </c>
      <c r="DP23" s="52">
        <f t="shared" si="111"/>
        <v>7</v>
      </c>
      <c r="DQ23" s="52">
        <f t="shared" si="112"/>
        <v>0</v>
      </c>
      <c r="DR23" s="53">
        <f t="shared" si="113"/>
        <v>7</v>
      </c>
      <c r="DS23" s="53">
        <f t="shared" si="114"/>
        <v>7</v>
      </c>
      <c r="DT23" s="53">
        <f t="shared" si="115"/>
        <v>0</v>
      </c>
      <c r="DU23" s="54">
        <f t="shared" si="116"/>
        <v>0</v>
      </c>
      <c r="DV23" s="54">
        <f t="shared" si="117"/>
        <v>4</v>
      </c>
      <c r="DW23" s="54">
        <f t="shared" si="118"/>
        <v>0</v>
      </c>
      <c r="DX23" s="55">
        <f t="shared" si="119"/>
        <v>4</v>
      </c>
      <c r="DY23" s="55">
        <f t="shared" si="120"/>
        <v>3</v>
      </c>
      <c r="DZ23" s="55">
        <f t="shared" si="121"/>
        <v>0</v>
      </c>
      <c r="EA23" s="56">
        <f t="shared" si="122"/>
        <v>0</v>
      </c>
      <c r="EB23" s="56">
        <f t="shared" si="123"/>
        <v>0</v>
      </c>
      <c r="EC23" s="56">
        <f t="shared" si="124"/>
        <v>0</v>
      </c>
    </row>
    <row r="24" spans="1:133" s="57" customFormat="1" ht="19.5" x14ac:dyDescent="0.25">
      <c r="A24" s="40"/>
      <c r="B24" s="68">
        <v>1.5</v>
      </c>
      <c r="C24" s="71"/>
      <c r="D24" s="72"/>
      <c r="E24" s="72"/>
      <c r="F24" s="43" t="s">
        <v>50</v>
      </c>
      <c r="G24" s="44" t="s">
        <v>51</v>
      </c>
      <c r="H24" s="45">
        <f t="shared" si="2"/>
        <v>0</v>
      </c>
      <c r="I24" s="46">
        <f t="shared" si="3"/>
        <v>0</v>
      </c>
      <c r="J24" s="46">
        <f t="shared" si="126"/>
        <v>0</v>
      </c>
      <c r="K24" s="46">
        <f t="shared" si="7"/>
        <v>0</v>
      </c>
      <c r="L24" s="46">
        <f t="shared" si="125"/>
        <v>0</v>
      </c>
      <c r="M24" s="46">
        <f t="shared" si="4"/>
        <v>0</v>
      </c>
      <c r="N24" s="46">
        <f t="shared" ref="N24:N30" si="129">B24*$N$6</f>
        <v>0</v>
      </c>
      <c r="O24" s="46">
        <f t="shared" si="5"/>
        <v>0</v>
      </c>
      <c r="P24" s="46">
        <f t="shared" si="6"/>
        <v>0</v>
      </c>
      <c r="Q24" s="46">
        <f t="shared" si="8"/>
        <v>0</v>
      </c>
      <c r="R24" s="46">
        <f t="shared" si="9"/>
        <v>0</v>
      </c>
      <c r="S24" s="46">
        <f t="shared" si="10"/>
        <v>0</v>
      </c>
      <c r="T24" s="46">
        <f t="shared" si="11"/>
        <v>0</v>
      </c>
      <c r="U24" s="46">
        <f t="shared" si="12"/>
        <v>0</v>
      </c>
      <c r="V24" s="47">
        <f t="shared" si="13"/>
        <v>0</v>
      </c>
      <c r="W24" s="48">
        <f t="shared" si="14"/>
        <v>0</v>
      </c>
      <c r="X24" s="46">
        <f t="shared" si="15"/>
        <v>0</v>
      </c>
      <c r="Y24" s="46">
        <f t="shared" si="16"/>
        <v>0</v>
      </c>
      <c r="Z24" s="46">
        <f t="shared" si="17"/>
        <v>0</v>
      </c>
      <c r="AA24" s="46">
        <f t="shared" si="18"/>
        <v>0</v>
      </c>
      <c r="AB24" s="46">
        <f t="shared" si="19"/>
        <v>0</v>
      </c>
      <c r="AC24" s="46">
        <f t="shared" si="20"/>
        <v>0</v>
      </c>
      <c r="AD24" s="46">
        <f t="shared" si="21"/>
        <v>0</v>
      </c>
      <c r="AE24" s="46">
        <f t="shared" si="22"/>
        <v>0</v>
      </c>
      <c r="AF24" s="46">
        <f t="shared" si="23"/>
        <v>0</v>
      </c>
      <c r="AG24" s="46">
        <f t="shared" si="24"/>
        <v>0</v>
      </c>
      <c r="AH24" s="46">
        <f t="shared" si="25"/>
        <v>0</v>
      </c>
      <c r="AI24" s="46">
        <f t="shared" si="26"/>
        <v>0</v>
      </c>
      <c r="AJ24" s="46">
        <f t="shared" si="27"/>
        <v>0</v>
      </c>
      <c r="AK24" s="46">
        <f t="shared" si="28"/>
        <v>0</v>
      </c>
      <c r="AL24" s="45">
        <f t="shared" si="29"/>
        <v>0</v>
      </c>
      <c r="AM24" s="46">
        <f t="shared" si="30"/>
        <v>0</v>
      </c>
      <c r="AN24" s="46">
        <f t="shared" si="31"/>
        <v>0</v>
      </c>
      <c r="AO24" s="46">
        <f t="shared" si="32"/>
        <v>0</v>
      </c>
      <c r="AP24" s="46">
        <f t="shared" si="33"/>
        <v>0</v>
      </c>
      <c r="AQ24" s="46">
        <f t="shared" si="34"/>
        <v>0</v>
      </c>
      <c r="AR24" s="46">
        <f t="shared" si="35"/>
        <v>0</v>
      </c>
      <c r="AS24" s="46">
        <f t="shared" si="36"/>
        <v>0</v>
      </c>
      <c r="AT24" s="46">
        <f t="shared" si="37"/>
        <v>0</v>
      </c>
      <c r="AU24" s="46">
        <f t="shared" si="38"/>
        <v>0</v>
      </c>
      <c r="AV24" s="46">
        <f t="shared" si="39"/>
        <v>0</v>
      </c>
      <c r="AW24" s="46">
        <f t="shared" si="40"/>
        <v>0</v>
      </c>
      <c r="AX24" s="46">
        <f t="shared" si="41"/>
        <v>0</v>
      </c>
      <c r="AY24" s="46">
        <f t="shared" si="42"/>
        <v>0</v>
      </c>
      <c r="AZ24" s="47">
        <f t="shared" si="43"/>
        <v>0</v>
      </c>
      <c r="BA24" s="45">
        <f t="shared" si="44"/>
        <v>0</v>
      </c>
      <c r="BB24" s="46">
        <f t="shared" si="45"/>
        <v>0</v>
      </c>
      <c r="BC24" s="46">
        <f t="shared" si="46"/>
        <v>0</v>
      </c>
      <c r="BD24" s="46">
        <f t="shared" si="47"/>
        <v>0</v>
      </c>
      <c r="BE24" s="46">
        <f t="shared" si="48"/>
        <v>0</v>
      </c>
      <c r="BF24" s="46">
        <f t="shared" si="49"/>
        <v>0</v>
      </c>
      <c r="BG24" s="46">
        <f t="shared" si="50"/>
        <v>0</v>
      </c>
      <c r="BH24" s="46">
        <f t="shared" si="51"/>
        <v>0</v>
      </c>
      <c r="BI24" s="46">
        <f t="shared" si="52"/>
        <v>0</v>
      </c>
      <c r="BJ24" s="46">
        <f t="shared" si="53"/>
        <v>0</v>
      </c>
      <c r="BK24" s="46">
        <f t="shared" si="54"/>
        <v>0</v>
      </c>
      <c r="BL24" s="46">
        <f t="shared" si="55"/>
        <v>0</v>
      </c>
      <c r="BM24" s="46">
        <f t="shared" si="56"/>
        <v>0</v>
      </c>
      <c r="BN24" s="46">
        <f t="shared" si="57"/>
        <v>0</v>
      </c>
      <c r="BO24" s="47">
        <f t="shared" si="58"/>
        <v>0</v>
      </c>
      <c r="BP24" s="48">
        <f t="shared" si="59"/>
        <v>0</v>
      </c>
      <c r="BQ24" s="46">
        <f t="shared" si="60"/>
        <v>42</v>
      </c>
      <c r="BR24" s="46">
        <f t="shared" si="61"/>
        <v>0</v>
      </c>
      <c r="BS24" s="46">
        <f t="shared" si="62"/>
        <v>0</v>
      </c>
      <c r="BT24" s="46">
        <f t="shared" si="63"/>
        <v>0</v>
      </c>
      <c r="BU24" s="46">
        <f t="shared" si="64"/>
        <v>0</v>
      </c>
      <c r="BV24" s="46">
        <f t="shared" si="65"/>
        <v>21</v>
      </c>
      <c r="BW24" s="46">
        <f t="shared" si="66"/>
        <v>0</v>
      </c>
      <c r="BX24" s="46">
        <f t="shared" si="67"/>
        <v>0</v>
      </c>
      <c r="BY24" s="46">
        <f t="shared" si="68"/>
        <v>0</v>
      </c>
      <c r="BZ24" s="46">
        <f t="shared" si="69"/>
        <v>0</v>
      </c>
      <c r="CA24" s="46">
        <f t="shared" si="70"/>
        <v>0</v>
      </c>
      <c r="CB24" s="46">
        <f t="shared" si="71"/>
        <v>0</v>
      </c>
      <c r="CC24" s="46">
        <f t="shared" si="72"/>
        <v>0</v>
      </c>
      <c r="CD24" s="46">
        <f t="shared" si="73"/>
        <v>0</v>
      </c>
      <c r="CE24" s="45">
        <f t="shared" si="74"/>
        <v>0</v>
      </c>
      <c r="CF24" s="46">
        <f t="shared" si="75"/>
        <v>21</v>
      </c>
      <c r="CG24" s="46">
        <f t="shared" si="76"/>
        <v>0</v>
      </c>
      <c r="CH24" s="46">
        <f t="shared" si="77"/>
        <v>0</v>
      </c>
      <c r="CI24" s="46">
        <f t="shared" si="78"/>
        <v>0</v>
      </c>
      <c r="CJ24" s="46">
        <f t="shared" si="79"/>
        <v>0</v>
      </c>
      <c r="CK24" s="46">
        <f t="shared" si="80"/>
        <v>19.5</v>
      </c>
      <c r="CL24" s="46">
        <f t="shared" si="81"/>
        <v>0</v>
      </c>
      <c r="CM24" s="46">
        <f t="shared" si="82"/>
        <v>0</v>
      </c>
      <c r="CN24" s="46">
        <f t="shared" si="83"/>
        <v>0</v>
      </c>
      <c r="CO24" s="46">
        <f t="shared" si="84"/>
        <v>0</v>
      </c>
      <c r="CP24" s="46">
        <f t="shared" si="85"/>
        <v>0</v>
      </c>
      <c r="CQ24" s="46">
        <f t="shared" si="86"/>
        <v>0</v>
      </c>
      <c r="CR24" s="46">
        <f t="shared" si="87"/>
        <v>0</v>
      </c>
      <c r="CS24" s="46">
        <f t="shared" si="88"/>
        <v>0</v>
      </c>
      <c r="CT24" s="45">
        <f t="shared" si="89"/>
        <v>0</v>
      </c>
      <c r="CU24" s="46">
        <f t="shared" si="90"/>
        <v>0</v>
      </c>
      <c r="CV24" s="46">
        <f t="shared" si="91"/>
        <v>0</v>
      </c>
      <c r="CW24" s="46">
        <f t="shared" si="92"/>
        <v>0</v>
      </c>
      <c r="CX24" s="46">
        <f t="shared" si="93"/>
        <v>0</v>
      </c>
      <c r="CY24" s="46">
        <f t="shared" si="94"/>
        <v>0</v>
      </c>
      <c r="CZ24" s="46">
        <f t="shared" si="95"/>
        <v>0</v>
      </c>
      <c r="DA24" s="46">
        <f t="shared" si="96"/>
        <v>0</v>
      </c>
      <c r="DB24" s="46">
        <f t="shared" si="97"/>
        <v>0</v>
      </c>
      <c r="DC24" s="46">
        <f t="shared" si="98"/>
        <v>0</v>
      </c>
      <c r="DD24" s="46">
        <f t="shared" si="99"/>
        <v>0</v>
      </c>
      <c r="DE24" s="46">
        <f t="shared" si="100"/>
        <v>0</v>
      </c>
      <c r="DF24" s="46">
        <f t="shared" si="101"/>
        <v>0</v>
      </c>
      <c r="DG24" s="46">
        <f t="shared" si="102"/>
        <v>0</v>
      </c>
      <c r="DH24" s="47">
        <f t="shared" si="103"/>
        <v>0</v>
      </c>
      <c r="DI24" s="49">
        <f t="shared" si="104"/>
        <v>0</v>
      </c>
      <c r="DJ24" s="50">
        <f t="shared" si="105"/>
        <v>0</v>
      </c>
      <c r="DK24" s="50">
        <f t="shared" si="106"/>
        <v>0</v>
      </c>
      <c r="DL24" s="51">
        <f t="shared" si="107"/>
        <v>0</v>
      </c>
      <c r="DM24" s="51">
        <f t="shared" si="108"/>
        <v>0</v>
      </c>
      <c r="DN24" s="51">
        <f t="shared" si="109"/>
        <v>0</v>
      </c>
      <c r="DO24" s="52">
        <f t="shared" si="110"/>
        <v>0</v>
      </c>
      <c r="DP24" s="52">
        <f t="shared" si="111"/>
        <v>0</v>
      </c>
      <c r="DQ24" s="52">
        <f t="shared" si="112"/>
        <v>0</v>
      </c>
      <c r="DR24" s="53">
        <f t="shared" si="113"/>
        <v>0</v>
      </c>
      <c r="DS24" s="53">
        <f t="shared" si="114"/>
        <v>0</v>
      </c>
      <c r="DT24" s="53">
        <f t="shared" si="115"/>
        <v>0</v>
      </c>
      <c r="DU24" s="54">
        <f t="shared" si="116"/>
        <v>42</v>
      </c>
      <c r="DV24" s="54">
        <f t="shared" si="117"/>
        <v>21</v>
      </c>
      <c r="DW24" s="54">
        <f t="shared" si="118"/>
        <v>0</v>
      </c>
      <c r="DX24" s="55">
        <f t="shared" si="119"/>
        <v>21</v>
      </c>
      <c r="DY24" s="55">
        <f t="shared" si="120"/>
        <v>20</v>
      </c>
      <c r="DZ24" s="55">
        <f t="shared" si="121"/>
        <v>0</v>
      </c>
      <c r="EA24" s="56">
        <f t="shared" si="122"/>
        <v>0</v>
      </c>
      <c r="EB24" s="56">
        <f t="shared" si="123"/>
        <v>0</v>
      </c>
      <c r="EC24" s="56">
        <f t="shared" si="124"/>
        <v>0</v>
      </c>
    </row>
    <row r="25" spans="1:133" s="57" customFormat="1" ht="19.5" x14ac:dyDescent="0.25">
      <c r="A25" s="40"/>
      <c r="B25" s="68">
        <v>0.2</v>
      </c>
      <c r="C25" s="71"/>
      <c r="D25" s="72"/>
      <c r="E25" s="73">
        <v>0.5</v>
      </c>
      <c r="F25" s="43" t="s">
        <v>52</v>
      </c>
      <c r="G25" s="44" t="s">
        <v>53</v>
      </c>
      <c r="H25" s="45">
        <f t="shared" si="2"/>
        <v>0</v>
      </c>
      <c r="I25" s="46">
        <f t="shared" si="3"/>
        <v>0</v>
      </c>
      <c r="J25" s="46">
        <f t="shared" si="126"/>
        <v>0</v>
      </c>
      <c r="K25" s="46">
        <f t="shared" si="7"/>
        <v>0</v>
      </c>
      <c r="L25" s="46">
        <f t="shared" si="125"/>
        <v>0</v>
      </c>
      <c r="M25" s="46">
        <f t="shared" si="4"/>
        <v>0</v>
      </c>
      <c r="N25" s="46">
        <f t="shared" si="129"/>
        <v>0</v>
      </c>
      <c r="O25" s="46">
        <f t="shared" si="5"/>
        <v>0</v>
      </c>
      <c r="P25" s="46">
        <f t="shared" si="6"/>
        <v>0</v>
      </c>
      <c r="Q25" s="46">
        <f t="shared" si="8"/>
        <v>7</v>
      </c>
      <c r="R25" s="46">
        <f t="shared" si="9"/>
        <v>0</v>
      </c>
      <c r="S25" s="46">
        <f t="shared" si="10"/>
        <v>0</v>
      </c>
      <c r="T25" s="46">
        <f t="shared" si="11"/>
        <v>0</v>
      </c>
      <c r="U25" s="46">
        <f t="shared" si="12"/>
        <v>0</v>
      </c>
      <c r="V25" s="47">
        <f t="shared" si="13"/>
        <v>0</v>
      </c>
      <c r="W25" s="48">
        <f t="shared" si="14"/>
        <v>0</v>
      </c>
      <c r="X25" s="46">
        <f t="shared" si="15"/>
        <v>0</v>
      </c>
      <c r="Y25" s="46">
        <f t="shared" si="16"/>
        <v>0</v>
      </c>
      <c r="Z25" s="46">
        <f t="shared" si="17"/>
        <v>0</v>
      </c>
      <c r="AA25" s="46">
        <f t="shared" si="18"/>
        <v>0</v>
      </c>
      <c r="AB25" s="46">
        <f t="shared" si="19"/>
        <v>0</v>
      </c>
      <c r="AC25" s="46">
        <f t="shared" si="20"/>
        <v>0</v>
      </c>
      <c r="AD25" s="46">
        <f t="shared" si="21"/>
        <v>0</v>
      </c>
      <c r="AE25" s="46">
        <f t="shared" si="22"/>
        <v>0</v>
      </c>
      <c r="AF25" s="46">
        <f t="shared" si="23"/>
        <v>0</v>
      </c>
      <c r="AG25" s="46">
        <f t="shared" si="24"/>
        <v>0</v>
      </c>
      <c r="AH25" s="46">
        <f t="shared" si="25"/>
        <v>0</v>
      </c>
      <c r="AI25" s="46">
        <f t="shared" si="26"/>
        <v>0</v>
      </c>
      <c r="AJ25" s="46">
        <f t="shared" si="27"/>
        <v>0</v>
      </c>
      <c r="AK25" s="46">
        <f t="shared" si="28"/>
        <v>0</v>
      </c>
      <c r="AL25" s="45">
        <f t="shared" si="29"/>
        <v>0</v>
      </c>
      <c r="AM25" s="46">
        <f t="shared" si="30"/>
        <v>0</v>
      </c>
      <c r="AN25" s="46">
        <f t="shared" si="31"/>
        <v>0</v>
      </c>
      <c r="AO25" s="46">
        <f t="shared" si="32"/>
        <v>0</v>
      </c>
      <c r="AP25" s="46">
        <f t="shared" si="33"/>
        <v>0</v>
      </c>
      <c r="AQ25" s="46">
        <f t="shared" si="34"/>
        <v>0</v>
      </c>
      <c r="AR25" s="46">
        <f t="shared" si="35"/>
        <v>0</v>
      </c>
      <c r="AS25" s="46">
        <f t="shared" si="36"/>
        <v>0</v>
      </c>
      <c r="AT25" s="46">
        <f t="shared" si="37"/>
        <v>0</v>
      </c>
      <c r="AU25" s="46">
        <f t="shared" si="38"/>
        <v>0</v>
      </c>
      <c r="AV25" s="46">
        <f t="shared" si="39"/>
        <v>0</v>
      </c>
      <c r="AW25" s="46">
        <f t="shared" si="40"/>
        <v>0</v>
      </c>
      <c r="AX25" s="46">
        <f t="shared" si="41"/>
        <v>0</v>
      </c>
      <c r="AY25" s="46">
        <f t="shared" si="42"/>
        <v>0</v>
      </c>
      <c r="AZ25" s="47">
        <f t="shared" si="43"/>
        <v>0</v>
      </c>
      <c r="BA25" s="45">
        <f t="shared" si="44"/>
        <v>0</v>
      </c>
      <c r="BB25" s="46">
        <f t="shared" si="45"/>
        <v>0</v>
      </c>
      <c r="BC25" s="46">
        <f t="shared" si="46"/>
        <v>0</v>
      </c>
      <c r="BD25" s="46">
        <f t="shared" si="47"/>
        <v>0</v>
      </c>
      <c r="BE25" s="46">
        <f t="shared" si="48"/>
        <v>0</v>
      </c>
      <c r="BF25" s="46">
        <f t="shared" si="49"/>
        <v>0</v>
      </c>
      <c r="BG25" s="46">
        <f t="shared" si="50"/>
        <v>0</v>
      </c>
      <c r="BH25" s="46">
        <f t="shared" si="51"/>
        <v>0</v>
      </c>
      <c r="BI25" s="46">
        <f t="shared" si="52"/>
        <v>0</v>
      </c>
      <c r="BJ25" s="46">
        <f t="shared" si="53"/>
        <v>0</v>
      </c>
      <c r="BK25" s="46">
        <f t="shared" si="54"/>
        <v>0</v>
      </c>
      <c r="BL25" s="46">
        <f t="shared" si="55"/>
        <v>0</v>
      </c>
      <c r="BM25" s="46">
        <f t="shared" si="56"/>
        <v>0</v>
      </c>
      <c r="BN25" s="46">
        <f t="shared" si="57"/>
        <v>0</v>
      </c>
      <c r="BO25" s="47">
        <f t="shared" si="58"/>
        <v>0</v>
      </c>
      <c r="BP25" s="48">
        <f t="shared" si="59"/>
        <v>0</v>
      </c>
      <c r="BQ25" s="46">
        <f t="shared" si="60"/>
        <v>5.6000000000000005</v>
      </c>
      <c r="BR25" s="46">
        <f t="shared" si="61"/>
        <v>0</v>
      </c>
      <c r="BS25" s="46">
        <f t="shared" si="62"/>
        <v>0</v>
      </c>
      <c r="BT25" s="46">
        <f t="shared" si="63"/>
        <v>0</v>
      </c>
      <c r="BU25" s="46">
        <f t="shared" si="64"/>
        <v>0</v>
      </c>
      <c r="BV25" s="46">
        <f t="shared" si="65"/>
        <v>2.8000000000000003</v>
      </c>
      <c r="BW25" s="46">
        <f t="shared" si="66"/>
        <v>0</v>
      </c>
      <c r="BX25" s="46">
        <f t="shared" si="67"/>
        <v>0</v>
      </c>
      <c r="BY25" s="46">
        <f t="shared" si="68"/>
        <v>0</v>
      </c>
      <c r="BZ25" s="46">
        <f t="shared" si="69"/>
        <v>0</v>
      </c>
      <c r="CA25" s="46">
        <f t="shared" si="70"/>
        <v>0</v>
      </c>
      <c r="CB25" s="46">
        <f t="shared" si="71"/>
        <v>0</v>
      </c>
      <c r="CC25" s="46">
        <f t="shared" si="72"/>
        <v>0</v>
      </c>
      <c r="CD25" s="46">
        <f t="shared" si="73"/>
        <v>0</v>
      </c>
      <c r="CE25" s="45">
        <f t="shared" si="74"/>
        <v>0</v>
      </c>
      <c r="CF25" s="46">
        <f t="shared" si="75"/>
        <v>2.8000000000000003</v>
      </c>
      <c r="CG25" s="46">
        <f t="shared" si="76"/>
        <v>0</v>
      </c>
      <c r="CH25" s="46">
        <f t="shared" si="77"/>
        <v>0</v>
      </c>
      <c r="CI25" s="46">
        <f t="shared" si="78"/>
        <v>0</v>
      </c>
      <c r="CJ25" s="46">
        <f t="shared" si="79"/>
        <v>0</v>
      </c>
      <c r="CK25" s="46">
        <f t="shared" si="80"/>
        <v>2.6</v>
      </c>
      <c r="CL25" s="46">
        <f t="shared" si="81"/>
        <v>0</v>
      </c>
      <c r="CM25" s="46">
        <f t="shared" si="82"/>
        <v>0</v>
      </c>
      <c r="CN25" s="46">
        <f t="shared" si="83"/>
        <v>0</v>
      </c>
      <c r="CO25" s="46">
        <f t="shared" si="84"/>
        <v>0</v>
      </c>
      <c r="CP25" s="46">
        <f t="shared" si="85"/>
        <v>0</v>
      </c>
      <c r="CQ25" s="46">
        <f t="shared" si="86"/>
        <v>0</v>
      </c>
      <c r="CR25" s="46">
        <f t="shared" si="87"/>
        <v>0</v>
      </c>
      <c r="CS25" s="46">
        <f t="shared" si="88"/>
        <v>0</v>
      </c>
      <c r="CT25" s="45">
        <f t="shared" si="89"/>
        <v>0</v>
      </c>
      <c r="CU25" s="46">
        <f t="shared" si="90"/>
        <v>0</v>
      </c>
      <c r="CV25" s="46">
        <f t="shared" si="91"/>
        <v>0</v>
      </c>
      <c r="CW25" s="46">
        <f t="shared" si="92"/>
        <v>0</v>
      </c>
      <c r="CX25" s="46">
        <f t="shared" si="93"/>
        <v>0</v>
      </c>
      <c r="CY25" s="46">
        <f t="shared" si="94"/>
        <v>0</v>
      </c>
      <c r="CZ25" s="46">
        <f t="shared" si="95"/>
        <v>0</v>
      </c>
      <c r="DA25" s="46">
        <f t="shared" si="96"/>
        <v>0</v>
      </c>
      <c r="DB25" s="46">
        <f t="shared" si="97"/>
        <v>0</v>
      </c>
      <c r="DC25" s="46">
        <f t="shared" si="98"/>
        <v>0</v>
      </c>
      <c r="DD25" s="46">
        <f t="shared" si="99"/>
        <v>0</v>
      </c>
      <c r="DE25" s="46">
        <f t="shared" si="100"/>
        <v>0</v>
      </c>
      <c r="DF25" s="46">
        <f t="shared" si="101"/>
        <v>0</v>
      </c>
      <c r="DG25" s="46">
        <f t="shared" si="102"/>
        <v>0</v>
      </c>
      <c r="DH25" s="47">
        <f t="shared" si="103"/>
        <v>0</v>
      </c>
      <c r="DI25" s="49">
        <f t="shared" si="104"/>
        <v>0</v>
      </c>
      <c r="DJ25" s="50">
        <f t="shared" si="105"/>
        <v>7</v>
      </c>
      <c r="DK25" s="50">
        <f t="shared" si="106"/>
        <v>0</v>
      </c>
      <c r="DL25" s="51">
        <f t="shared" si="107"/>
        <v>0</v>
      </c>
      <c r="DM25" s="51">
        <f t="shared" si="108"/>
        <v>0</v>
      </c>
      <c r="DN25" s="51">
        <f t="shared" si="109"/>
        <v>0</v>
      </c>
      <c r="DO25" s="52">
        <f>ROUNDUP((AL25+AM25+AN25+AO25+AP25),0)</f>
        <v>0</v>
      </c>
      <c r="DP25" s="52">
        <f t="shared" si="111"/>
        <v>0</v>
      </c>
      <c r="DQ25" s="52">
        <f t="shared" si="112"/>
        <v>0</v>
      </c>
      <c r="DR25" s="53">
        <f t="shared" si="113"/>
        <v>0</v>
      </c>
      <c r="DS25" s="53">
        <f t="shared" si="114"/>
        <v>0</v>
      </c>
      <c r="DT25" s="53">
        <f t="shared" si="115"/>
        <v>0</v>
      </c>
      <c r="DU25" s="54">
        <f t="shared" si="116"/>
        <v>6</v>
      </c>
      <c r="DV25" s="54">
        <f t="shared" si="117"/>
        <v>3</v>
      </c>
      <c r="DW25" s="54">
        <f t="shared" si="118"/>
        <v>0</v>
      </c>
      <c r="DX25" s="55">
        <f t="shared" si="119"/>
        <v>3</v>
      </c>
      <c r="DY25" s="55">
        <f t="shared" si="120"/>
        <v>3</v>
      </c>
      <c r="DZ25" s="55">
        <f t="shared" si="121"/>
        <v>0</v>
      </c>
      <c r="EA25" s="56">
        <f t="shared" si="122"/>
        <v>0</v>
      </c>
      <c r="EB25" s="56">
        <f t="shared" si="123"/>
        <v>0</v>
      </c>
      <c r="EC25" s="56">
        <f t="shared" si="124"/>
        <v>0</v>
      </c>
    </row>
    <row r="26" spans="1:133" s="57" customFormat="1" ht="19.5" x14ac:dyDescent="0.25">
      <c r="A26" s="40"/>
      <c r="B26" s="68"/>
      <c r="C26" s="71"/>
      <c r="D26" s="72"/>
      <c r="E26" s="73">
        <v>2.8</v>
      </c>
      <c r="F26" s="43" t="s">
        <v>54</v>
      </c>
      <c r="G26" s="44" t="s">
        <v>55</v>
      </c>
      <c r="H26" s="45">
        <f t="shared" si="2"/>
        <v>0</v>
      </c>
      <c r="I26" s="46">
        <f t="shared" si="3"/>
        <v>0</v>
      </c>
      <c r="J26" s="46">
        <f t="shared" si="126"/>
        <v>0</v>
      </c>
      <c r="K26" s="46">
        <f t="shared" si="7"/>
        <v>0</v>
      </c>
      <c r="L26" s="46">
        <f t="shared" si="125"/>
        <v>0</v>
      </c>
      <c r="M26" s="46">
        <f t="shared" si="4"/>
        <v>0</v>
      </c>
      <c r="N26" s="46">
        <f t="shared" si="129"/>
        <v>0</v>
      </c>
      <c r="O26" s="46">
        <f t="shared" si="5"/>
        <v>0</v>
      </c>
      <c r="P26" s="46">
        <f t="shared" si="6"/>
        <v>0</v>
      </c>
      <c r="Q26" s="46">
        <f t="shared" si="8"/>
        <v>39.199999999999996</v>
      </c>
      <c r="R26" s="46">
        <f t="shared" si="9"/>
        <v>0</v>
      </c>
      <c r="S26" s="46">
        <f t="shared" si="10"/>
        <v>0</v>
      </c>
      <c r="T26" s="46">
        <f t="shared" si="11"/>
        <v>0</v>
      </c>
      <c r="U26" s="46">
        <f t="shared" si="12"/>
        <v>0</v>
      </c>
      <c r="V26" s="47">
        <f t="shared" si="13"/>
        <v>0</v>
      </c>
      <c r="W26" s="48">
        <f t="shared" si="14"/>
        <v>0</v>
      </c>
      <c r="X26" s="46">
        <f t="shared" si="15"/>
        <v>0</v>
      </c>
      <c r="Y26" s="46">
        <f t="shared" si="16"/>
        <v>0</v>
      </c>
      <c r="Z26" s="46">
        <f t="shared" si="17"/>
        <v>0</v>
      </c>
      <c r="AA26" s="46">
        <f t="shared" si="18"/>
        <v>0</v>
      </c>
      <c r="AB26" s="46">
        <f t="shared" si="19"/>
        <v>0</v>
      </c>
      <c r="AC26" s="46">
        <f t="shared" si="20"/>
        <v>0</v>
      </c>
      <c r="AD26" s="46">
        <f t="shared" si="21"/>
        <v>0</v>
      </c>
      <c r="AE26" s="46">
        <f t="shared" si="22"/>
        <v>0</v>
      </c>
      <c r="AF26" s="46">
        <f t="shared" si="23"/>
        <v>0</v>
      </c>
      <c r="AG26" s="46">
        <f t="shared" si="24"/>
        <v>0</v>
      </c>
      <c r="AH26" s="46">
        <f t="shared" si="25"/>
        <v>0</v>
      </c>
      <c r="AI26" s="46">
        <f t="shared" si="26"/>
        <v>0</v>
      </c>
      <c r="AJ26" s="46">
        <f t="shared" si="27"/>
        <v>0</v>
      </c>
      <c r="AK26" s="46">
        <f t="shared" si="28"/>
        <v>0</v>
      </c>
      <c r="AL26" s="45">
        <f t="shared" si="29"/>
        <v>0</v>
      </c>
      <c r="AM26" s="46">
        <f t="shared" si="30"/>
        <v>0</v>
      </c>
      <c r="AN26" s="46">
        <f t="shared" si="31"/>
        <v>0</v>
      </c>
      <c r="AO26" s="46">
        <f t="shared" si="32"/>
        <v>0</v>
      </c>
      <c r="AP26" s="46">
        <f t="shared" si="33"/>
        <v>0</v>
      </c>
      <c r="AQ26" s="46">
        <f t="shared" si="34"/>
        <v>0</v>
      </c>
      <c r="AR26" s="46">
        <f t="shared" si="35"/>
        <v>0</v>
      </c>
      <c r="AS26" s="46">
        <f t="shared" si="36"/>
        <v>0</v>
      </c>
      <c r="AT26" s="46">
        <f t="shared" si="37"/>
        <v>0</v>
      </c>
      <c r="AU26" s="46">
        <f t="shared" si="38"/>
        <v>0</v>
      </c>
      <c r="AV26" s="46">
        <f t="shared" si="39"/>
        <v>0</v>
      </c>
      <c r="AW26" s="46">
        <f t="shared" si="40"/>
        <v>0</v>
      </c>
      <c r="AX26" s="46">
        <f t="shared" si="41"/>
        <v>0</v>
      </c>
      <c r="AY26" s="46">
        <f t="shared" si="42"/>
        <v>0</v>
      </c>
      <c r="AZ26" s="47">
        <f t="shared" si="43"/>
        <v>0</v>
      </c>
      <c r="BA26" s="45">
        <f t="shared" si="44"/>
        <v>0</v>
      </c>
      <c r="BB26" s="46">
        <f t="shared" si="45"/>
        <v>0</v>
      </c>
      <c r="BC26" s="46">
        <f t="shared" si="46"/>
        <v>0</v>
      </c>
      <c r="BD26" s="46">
        <f t="shared" si="47"/>
        <v>0</v>
      </c>
      <c r="BE26" s="46">
        <f>E26*$BE$6</f>
        <v>0</v>
      </c>
      <c r="BF26" s="46">
        <f t="shared" si="49"/>
        <v>0</v>
      </c>
      <c r="BG26" s="46">
        <f t="shared" si="50"/>
        <v>0</v>
      </c>
      <c r="BH26" s="46">
        <f t="shared" si="51"/>
        <v>0</v>
      </c>
      <c r="BI26" s="46">
        <f t="shared" si="52"/>
        <v>0</v>
      </c>
      <c r="BJ26" s="46">
        <f t="shared" si="53"/>
        <v>0</v>
      </c>
      <c r="BK26" s="46">
        <f t="shared" si="54"/>
        <v>0</v>
      </c>
      <c r="BL26" s="46">
        <f t="shared" si="55"/>
        <v>0</v>
      </c>
      <c r="BM26" s="46">
        <f t="shared" si="56"/>
        <v>0</v>
      </c>
      <c r="BN26" s="46">
        <f t="shared" si="57"/>
        <v>0</v>
      </c>
      <c r="BO26" s="47">
        <f t="shared" si="58"/>
        <v>0</v>
      </c>
      <c r="BP26" s="48">
        <f t="shared" si="59"/>
        <v>0</v>
      </c>
      <c r="BQ26" s="46">
        <f t="shared" si="60"/>
        <v>0</v>
      </c>
      <c r="BR26" s="46">
        <f t="shared" si="61"/>
        <v>0</v>
      </c>
      <c r="BS26" s="46">
        <f t="shared" si="62"/>
        <v>0</v>
      </c>
      <c r="BT26" s="46">
        <f t="shared" si="63"/>
        <v>0</v>
      </c>
      <c r="BU26" s="46">
        <f t="shared" si="64"/>
        <v>0</v>
      </c>
      <c r="BV26" s="46">
        <f t="shared" si="65"/>
        <v>0</v>
      </c>
      <c r="BW26" s="46">
        <f t="shared" si="66"/>
        <v>0</v>
      </c>
      <c r="BX26" s="46">
        <f t="shared" si="67"/>
        <v>0</v>
      </c>
      <c r="BY26" s="46">
        <f t="shared" si="68"/>
        <v>0</v>
      </c>
      <c r="BZ26" s="46">
        <f t="shared" si="69"/>
        <v>0</v>
      </c>
      <c r="CA26" s="46">
        <f t="shared" si="70"/>
        <v>0</v>
      </c>
      <c r="CB26" s="46">
        <f t="shared" si="71"/>
        <v>0</v>
      </c>
      <c r="CC26" s="46">
        <f t="shared" si="72"/>
        <v>0</v>
      </c>
      <c r="CD26" s="46">
        <f t="shared" si="73"/>
        <v>0</v>
      </c>
      <c r="CE26" s="45">
        <f t="shared" si="74"/>
        <v>0</v>
      </c>
      <c r="CF26" s="46">
        <f t="shared" si="75"/>
        <v>0</v>
      </c>
      <c r="CG26" s="46">
        <f t="shared" si="76"/>
        <v>0</v>
      </c>
      <c r="CH26" s="46">
        <f t="shared" si="77"/>
        <v>0</v>
      </c>
      <c r="CI26" s="46">
        <f t="shared" si="78"/>
        <v>0</v>
      </c>
      <c r="CJ26" s="46">
        <f t="shared" si="79"/>
        <v>0</v>
      </c>
      <c r="CK26" s="46">
        <f t="shared" si="80"/>
        <v>0</v>
      </c>
      <c r="CL26" s="46">
        <f t="shared" si="81"/>
        <v>0</v>
      </c>
      <c r="CM26" s="46">
        <f t="shared" si="82"/>
        <v>0</v>
      </c>
      <c r="CN26" s="46">
        <f t="shared" si="83"/>
        <v>0</v>
      </c>
      <c r="CO26" s="46">
        <f t="shared" si="84"/>
        <v>0</v>
      </c>
      <c r="CP26" s="46">
        <f t="shared" si="85"/>
        <v>0</v>
      </c>
      <c r="CQ26" s="46">
        <f t="shared" si="86"/>
        <v>0</v>
      </c>
      <c r="CR26" s="46">
        <f t="shared" si="87"/>
        <v>0</v>
      </c>
      <c r="CS26" s="46">
        <f t="shared" si="88"/>
        <v>0</v>
      </c>
      <c r="CT26" s="45">
        <f t="shared" si="89"/>
        <v>0</v>
      </c>
      <c r="CU26" s="46">
        <f t="shared" si="90"/>
        <v>0</v>
      </c>
      <c r="CV26" s="46">
        <f t="shared" si="91"/>
        <v>0</v>
      </c>
      <c r="CW26" s="46">
        <f t="shared" si="92"/>
        <v>0</v>
      </c>
      <c r="CX26" s="46">
        <f t="shared" si="93"/>
        <v>0</v>
      </c>
      <c r="CY26" s="46">
        <f t="shared" si="94"/>
        <v>0</v>
      </c>
      <c r="CZ26" s="46">
        <f t="shared" si="95"/>
        <v>0</v>
      </c>
      <c r="DA26" s="46">
        <f t="shared" si="96"/>
        <v>0</v>
      </c>
      <c r="DB26" s="46">
        <f t="shared" si="97"/>
        <v>0</v>
      </c>
      <c r="DC26" s="46">
        <f t="shared" si="98"/>
        <v>0</v>
      </c>
      <c r="DD26" s="46">
        <f t="shared" si="99"/>
        <v>0</v>
      </c>
      <c r="DE26" s="46">
        <f t="shared" si="100"/>
        <v>0</v>
      </c>
      <c r="DF26" s="46">
        <f t="shared" si="101"/>
        <v>0</v>
      </c>
      <c r="DG26" s="46">
        <f t="shared" si="102"/>
        <v>0</v>
      </c>
      <c r="DH26" s="47">
        <f t="shared" si="103"/>
        <v>0</v>
      </c>
      <c r="DI26" s="49">
        <f t="shared" si="104"/>
        <v>0</v>
      </c>
      <c r="DJ26" s="50">
        <f t="shared" si="105"/>
        <v>40</v>
      </c>
      <c r="DK26" s="50">
        <f t="shared" si="106"/>
        <v>0</v>
      </c>
      <c r="DL26" s="51">
        <f t="shared" si="107"/>
        <v>0</v>
      </c>
      <c r="DM26" s="51">
        <f t="shared" si="108"/>
        <v>0</v>
      </c>
      <c r="DN26" s="51">
        <f t="shared" si="109"/>
        <v>0</v>
      </c>
      <c r="DO26" s="52">
        <f t="shared" si="110"/>
        <v>0</v>
      </c>
      <c r="DP26" s="52">
        <f t="shared" si="111"/>
        <v>0</v>
      </c>
      <c r="DQ26" s="52">
        <f t="shared" si="112"/>
        <v>0</v>
      </c>
      <c r="DR26" s="53">
        <f t="shared" si="113"/>
        <v>0</v>
      </c>
      <c r="DS26" s="53">
        <f t="shared" si="114"/>
        <v>0</v>
      </c>
      <c r="DT26" s="53">
        <f t="shared" si="115"/>
        <v>0</v>
      </c>
      <c r="DU26" s="54">
        <f t="shared" si="116"/>
        <v>0</v>
      </c>
      <c r="DV26" s="54">
        <f t="shared" si="117"/>
        <v>0</v>
      </c>
      <c r="DW26" s="54">
        <f t="shared" si="118"/>
        <v>0</v>
      </c>
      <c r="DX26" s="55">
        <f t="shared" si="119"/>
        <v>0</v>
      </c>
      <c r="DY26" s="55">
        <f t="shared" si="120"/>
        <v>0</v>
      </c>
      <c r="DZ26" s="55">
        <f t="shared" si="121"/>
        <v>0</v>
      </c>
      <c r="EA26" s="56">
        <f t="shared" si="122"/>
        <v>0</v>
      </c>
      <c r="EB26" s="56">
        <f t="shared" si="123"/>
        <v>0</v>
      </c>
      <c r="EC26" s="56">
        <f t="shared" si="124"/>
        <v>0</v>
      </c>
    </row>
    <row r="27" spans="1:133" s="57" customFormat="1" ht="19.5" x14ac:dyDescent="0.25">
      <c r="A27" s="40"/>
      <c r="B27" s="68">
        <v>0.71399999999999997</v>
      </c>
      <c r="C27" s="71"/>
      <c r="D27" s="72"/>
      <c r="E27" s="72"/>
      <c r="F27" s="43" t="s">
        <v>56</v>
      </c>
      <c r="G27" s="44" t="s">
        <v>57</v>
      </c>
      <c r="H27" s="45">
        <f t="shared" si="2"/>
        <v>0</v>
      </c>
      <c r="I27" s="46">
        <f t="shared" si="3"/>
        <v>0</v>
      </c>
      <c r="J27" s="46">
        <f t="shared" si="126"/>
        <v>0</v>
      </c>
      <c r="K27" s="46">
        <f t="shared" si="7"/>
        <v>0</v>
      </c>
      <c r="L27" s="46">
        <f>E27*$L$6</f>
        <v>0</v>
      </c>
      <c r="M27" s="46">
        <f t="shared" si="4"/>
        <v>0</v>
      </c>
      <c r="N27" s="46">
        <f t="shared" si="129"/>
        <v>0</v>
      </c>
      <c r="O27" s="46">
        <f t="shared" si="5"/>
        <v>0</v>
      </c>
      <c r="P27" s="46">
        <f t="shared" si="6"/>
        <v>0</v>
      </c>
      <c r="Q27" s="46">
        <f t="shared" si="8"/>
        <v>0</v>
      </c>
      <c r="R27" s="46">
        <f t="shared" si="9"/>
        <v>0</v>
      </c>
      <c r="S27" s="46">
        <f t="shared" si="10"/>
        <v>0</v>
      </c>
      <c r="T27" s="46">
        <f t="shared" si="11"/>
        <v>0</v>
      </c>
      <c r="U27" s="46">
        <f t="shared" si="12"/>
        <v>0</v>
      </c>
      <c r="V27" s="47">
        <f t="shared" si="13"/>
        <v>0</v>
      </c>
      <c r="W27" s="48">
        <f t="shared" si="14"/>
        <v>0</v>
      </c>
      <c r="X27" s="46">
        <f t="shared" si="15"/>
        <v>0</v>
      </c>
      <c r="Y27" s="46">
        <f t="shared" si="16"/>
        <v>0</v>
      </c>
      <c r="Z27" s="46">
        <f t="shared" si="17"/>
        <v>0</v>
      </c>
      <c r="AA27" s="46">
        <f t="shared" si="18"/>
        <v>0</v>
      </c>
      <c r="AB27" s="46">
        <f t="shared" si="19"/>
        <v>0</v>
      </c>
      <c r="AC27" s="46">
        <f t="shared" si="20"/>
        <v>0</v>
      </c>
      <c r="AD27" s="46">
        <f t="shared" si="21"/>
        <v>0</v>
      </c>
      <c r="AE27" s="46">
        <f t="shared" si="22"/>
        <v>0</v>
      </c>
      <c r="AF27" s="46">
        <f t="shared" si="23"/>
        <v>0</v>
      </c>
      <c r="AG27" s="46">
        <f t="shared" si="24"/>
        <v>0</v>
      </c>
      <c r="AH27" s="46">
        <f t="shared" si="25"/>
        <v>0</v>
      </c>
      <c r="AI27" s="46">
        <f t="shared" si="26"/>
        <v>0</v>
      </c>
      <c r="AJ27" s="46">
        <f t="shared" si="27"/>
        <v>0</v>
      </c>
      <c r="AK27" s="46">
        <f t="shared" si="28"/>
        <v>0</v>
      </c>
      <c r="AL27" s="45">
        <f t="shared" si="29"/>
        <v>0</v>
      </c>
      <c r="AM27" s="46">
        <f t="shared" si="30"/>
        <v>0</v>
      </c>
      <c r="AN27" s="46">
        <f t="shared" si="31"/>
        <v>0</v>
      </c>
      <c r="AO27" s="46">
        <f t="shared" si="32"/>
        <v>0</v>
      </c>
      <c r="AP27" s="46">
        <f t="shared" si="33"/>
        <v>0</v>
      </c>
      <c r="AQ27" s="46">
        <f t="shared" si="34"/>
        <v>0</v>
      </c>
      <c r="AR27" s="46">
        <f t="shared" si="35"/>
        <v>0</v>
      </c>
      <c r="AS27" s="46">
        <f t="shared" si="36"/>
        <v>0</v>
      </c>
      <c r="AT27" s="46">
        <f t="shared" si="37"/>
        <v>0</v>
      </c>
      <c r="AU27" s="46">
        <f t="shared" si="38"/>
        <v>0</v>
      </c>
      <c r="AV27" s="46">
        <f t="shared" si="39"/>
        <v>0</v>
      </c>
      <c r="AW27" s="46">
        <f t="shared" si="40"/>
        <v>0</v>
      </c>
      <c r="AX27" s="46">
        <f t="shared" si="41"/>
        <v>0</v>
      </c>
      <c r="AY27" s="46">
        <f t="shared" si="42"/>
        <v>0</v>
      </c>
      <c r="AZ27" s="47">
        <f t="shared" si="43"/>
        <v>0</v>
      </c>
      <c r="BA27" s="45">
        <f t="shared" si="44"/>
        <v>0</v>
      </c>
      <c r="BB27" s="46">
        <f t="shared" si="45"/>
        <v>0</v>
      </c>
      <c r="BC27" s="46">
        <f t="shared" si="46"/>
        <v>0</v>
      </c>
      <c r="BD27" s="46">
        <f t="shared" si="47"/>
        <v>0</v>
      </c>
      <c r="BE27" s="46">
        <f t="shared" si="48"/>
        <v>0</v>
      </c>
      <c r="BF27" s="46">
        <f t="shared" si="49"/>
        <v>0</v>
      </c>
      <c r="BG27" s="46">
        <f t="shared" si="50"/>
        <v>0</v>
      </c>
      <c r="BH27" s="46">
        <f t="shared" si="51"/>
        <v>0</v>
      </c>
      <c r="BI27" s="46">
        <f t="shared" si="52"/>
        <v>0</v>
      </c>
      <c r="BJ27" s="46">
        <f t="shared" si="53"/>
        <v>0</v>
      </c>
      <c r="BK27" s="46">
        <f t="shared" si="54"/>
        <v>0</v>
      </c>
      <c r="BL27" s="46">
        <f t="shared" si="55"/>
        <v>0</v>
      </c>
      <c r="BM27" s="46">
        <f t="shared" si="56"/>
        <v>0</v>
      </c>
      <c r="BN27" s="46">
        <f t="shared" si="57"/>
        <v>0</v>
      </c>
      <c r="BO27" s="47">
        <f t="shared" si="58"/>
        <v>0</v>
      </c>
      <c r="BP27" s="48">
        <f t="shared" si="59"/>
        <v>0</v>
      </c>
      <c r="BQ27" s="46">
        <f t="shared" si="60"/>
        <v>19.991999999999997</v>
      </c>
      <c r="BR27" s="46">
        <f t="shared" si="61"/>
        <v>0</v>
      </c>
      <c r="BS27" s="46">
        <f t="shared" si="62"/>
        <v>0</v>
      </c>
      <c r="BT27" s="46">
        <f t="shared" si="63"/>
        <v>0</v>
      </c>
      <c r="BU27" s="46">
        <f t="shared" si="64"/>
        <v>0</v>
      </c>
      <c r="BV27" s="46">
        <f t="shared" si="65"/>
        <v>9.9959999999999987</v>
      </c>
      <c r="BW27" s="46">
        <f t="shared" si="66"/>
        <v>0</v>
      </c>
      <c r="BX27" s="46">
        <f t="shared" si="67"/>
        <v>0</v>
      </c>
      <c r="BY27" s="46">
        <f t="shared" si="68"/>
        <v>0</v>
      </c>
      <c r="BZ27" s="46">
        <f t="shared" si="69"/>
        <v>0</v>
      </c>
      <c r="CA27" s="46">
        <f t="shared" si="70"/>
        <v>0</v>
      </c>
      <c r="CB27" s="46">
        <f t="shared" si="71"/>
        <v>0</v>
      </c>
      <c r="CC27" s="46">
        <f t="shared" si="72"/>
        <v>0</v>
      </c>
      <c r="CD27" s="46">
        <f t="shared" si="73"/>
        <v>0</v>
      </c>
      <c r="CE27" s="45">
        <f t="shared" si="74"/>
        <v>0</v>
      </c>
      <c r="CF27" s="46">
        <f t="shared" si="75"/>
        <v>9.9959999999999987</v>
      </c>
      <c r="CG27" s="46">
        <f t="shared" si="76"/>
        <v>0</v>
      </c>
      <c r="CH27" s="46">
        <f t="shared" si="77"/>
        <v>0</v>
      </c>
      <c r="CI27" s="46">
        <f t="shared" si="78"/>
        <v>0</v>
      </c>
      <c r="CJ27" s="46">
        <f t="shared" si="79"/>
        <v>0</v>
      </c>
      <c r="CK27" s="46">
        <f t="shared" si="80"/>
        <v>9.282</v>
      </c>
      <c r="CL27" s="46">
        <f t="shared" si="81"/>
        <v>0</v>
      </c>
      <c r="CM27" s="46">
        <f t="shared" si="82"/>
        <v>0</v>
      </c>
      <c r="CN27" s="46">
        <f t="shared" si="83"/>
        <v>0</v>
      </c>
      <c r="CO27" s="46">
        <f t="shared" si="84"/>
        <v>0</v>
      </c>
      <c r="CP27" s="46">
        <f t="shared" si="85"/>
        <v>0</v>
      </c>
      <c r="CQ27" s="46">
        <f t="shared" si="86"/>
        <v>0</v>
      </c>
      <c r="CR27" s="46">
        <f t="shared" si="87"/>
        <v>0</v>
      </c>
      <c r="CS27" s="46">
        <f t="shared" si="88"/>
        <v>0</v>
      </c>
      <c r="CT27" s="45">
        <f t="shared" si="89"/>
        <v>0</v>
      </c>
      <c r="CU27" s="46">
        <f t="shared" si="90"/>
        <v>0</v>
      </c>
      <c r="CV27" s="46">
        <f t="shared" si="91"/>
        <v>0</v>
      </c>
      <c r="CW27" s="46">
        <f t="shared" si="92"/>
        <v>0</v>
      </c>
      <c r="CX27" s="46">
        <f t="shared" si="93"/>
        <v>0</v>
      </c>
      <c r="CY27" s="46">
        <f t="shared" si="94"/>
        <v>0</v>
      </c>
      <c r="CZ27" s="46">
        <f t="shared" si="95"/>
        <v>0</v>
      </c>
      <c r="DA27" s="46">
        <f t="shared" si="96"/>
        <v>0</v>
      </c>
      <c r="DB27" s="46">
        <f t="shared" si="97"/>
        <v>0</v>
      </c>
      <c r="DC27" s="46">
        <f t="shared" si="98"/>
        <v>0</v>
      </c>
      <c r="DD27" s="46">
        <f t="shared" si="99"/>
        <v>0</v>
      </c>
      <c r="DE27" s="46">
        <f t="shared" si="100"/>
        <v>0</v>
      </c>
      <c r="DF27" s="46">
        <f t="shared" si="101"/>
        <v>0</v>
      </c>
      <c r="DG27" s="46">
        <f t="shared" si="102"/>
        <v>0</v>
      </c>
      <c r="DH27" s="47">
        <f t="shared" si="103"/>
        <v>0</v>
      </c>
      <c r="DI27" s="49">
        <f t="shared" si="104"/>
        <v>0</v>
      </c>
      <c r="DJ27" s="50">
        <f t="shared" si="105"/>
        <v>0</v>
      </c>
      <c r="DK27" s="50">
        <f t="shared" si="106"/>
        <v>0</v>
      </c>
      <c r="DL27" s="51">
        <f t="shared" si="107"/>
        <v>0</v>
      </c>
      <c r="DM27" s="51">
        <f t="shared" si="108"/>
        <v>0</v>
      </c>
      <c r="DN27" s="51">
        <f t="shared" si="109"/>
        <v>0</v>
      </c>
      <c r="DO27" s="52">
        <f t="shared" si="110"/>
        <v>0</v>
      </c>
      <c r="DP27" s="52">
        <f t="shared" si="111"/>
        <v>0</v>
      </c>
      <c r="DQ27" s="52">
        <f t="shared" si="112"/>
        <v>0</v>
      </c>
      <c r="DR27" s="53">
        <f t="shared" si="113"/>
        <v>0</v>
      </c>
      <c r="DS27" s="53">
        <f t="shared" si="114"/>
        <v>0</v>
      </c>
      <c r="DT27" s="53">
        <f t="shared" si="115"/>
        <v>0</v>
      </c>
      <c r="DU27" s="54">
        <f t="shared" si="116"/>
        <v>20</v>
      </c>
      <c r="DV27" s="54">
        <f t="shared" si="117"/>
        <v>10</v>
      </c>
      <c r="DW27" s="54">
        <f t="shared" si="118"/>
        <v>0</v>
      </c>
      <c r="DX27" s="55">
        <f t="shared" si="119"/>
        <v>10</v>
      </c>
      <c r="DY27" s="55">
        <f t="shared" si="120"/>
        <v>10</v>
      </c>
      <c r="DZ27" s="55">
        <f t="shared" si="121"/>
        <v>0</v>
      </c>
      <c r="EA27" s="56">
        <f t="shared" si="122"/>
        <v>0</v>
      </c>
      <c r="EB27" s="56">
        <f t="shared" si="123"/>
        <v>0</v>
      </c>
      <c r="EC27" s="56">
        <f t="shared" si="124"/>
        <v>0</v>
      </c>
    </row>
    <row r="28" spans="1:133" s="57" customFormat="1" ht="19.5" x14ac:dyDescent="0.25">
      <c r="A28" s="40"/>
      <c r="B28" s="68"/>
      <c r="C28" s="71"/>
      <c r="D28" s="72"/>
      <c r="E28" s="73">
        <v>1.5</v>
      </c>
      <c r="F28" s="43" t="s">
        <v>58</v>
      </c>
      <c r="G28" s="44" t="s">
        <v>59</v>
      </c>
      <c r="H28" s="45">
        <f t="shared" si="2"/>
        <v>0</v>
      </c>
      <c r="I28" s="46">
        <f t="shared" si="3"/>
        <v>0</v>
      </c>
      <c r="J28" s="46">
        <f t="shared" si="126"/>
        <v>0</v>
      </c>
      <c r="K28" s="46">
        <f t="shared" si="7"/>
        <v>0</v>
      </c>
      <c r="L28" s="46">
        <f>E28*$L$6</f>
        <v>0</v>
      </c>
      <c r="M28" s="46">
        <f t="shared" si="4"/>
        <v>0</v>
      </c>
      <c r="N28" s="46">
        <f t="shared" si="129"/>
        <v>0</v>
      </c>
      <c r="O28" s="46">
        <f t="shared" si="5"/>
        <v>0</v>
      </c>
      <c r="P28" s="46">
        <f t="shared" si="6"/>
        <v>0</v>
      </c>
      <c r="Q28" s="46">
        <f t="shared" si="8"/>
        <v>21</v>
      </c>
      <c r="R28" s="46">
        <f t="shared" si="9"/>
        <v>0</v>
      </c>
      <c r="S28" s="46">
        <f t="shared" si="10"/>
        <v>0</v>
      </c>
      <c r="T28" s="46">
        <f t="shared" si="11"/>
        <v>0</v>
      </c>
      <c r="U28" s="46">
        <f t="shared" si="12"/>
        <v>0</v>
      </c>
      <c r="V28" s="47">
        <f t="shared" si="13"/>
        <v>0</v>
      </c>
      <c r="W28" s="48">
        <f t="shared" si="14"/>
        <v>0</v>
      </c>
      <c r="X28" s="46">
        <f t="shared" si="15"/>
        <v>0</v>
      </c>
      <c r="Y28" s="46">
        <f t="shared" si="16"/>
        <v>0</v>
      </c>
      <c r="Z28" s="46">
        <f t="shared" si="17"/>
        <v>0</v>
      </c>
      <c r="AA28" s="46">
        <f t="shared" si="18"/>
        <v>0</v>
      </c>
      <c r="AB28" s="46">
        <f t="shared" si="19"/>
        <v>0</v>
      </c>
      <c r="AC28" s="46">
        <f t="shared" si="20"/>
        <v>0</v>
      </c>
      <c r="AD28" s="46">
        <f t="shared" si="21"/>
        <v>0</v>
      </c>
      <c r="AE28" s="46">
        <f t="shared" si="22"/>
        <v>0</v>
      </c>
      <c r="AF28" s="46">
        <f t="shared" si="23"/>
        <v>0</v>
      </c>
      <c r="AG28" s="46">
        <f t="shared" si="24"/>
        <v>0</v>
      </c>
      <c r="AH28" s="46">
        <f t="shared" si="25"/>
        <v>0</v>
      </c>
      <c r="AI28" s="46">
        <f t="shared" si="26"/>
        <v>0</v>
      </c>
      <c r="AJ28" s="46">
        <f t="shared" si="27"/>
        <v>0</v>
      </c>
      <c r="AK28" s="46">
        <f t="shared" si="28"/>
        <v>0</v>
      </c>
      <c r="AL28" s="45">
        <f t="shared" si="29"/>
        <v>0</v>
      </c>
      <c r="AM28" s="46">
        <f t="shared" si="30"/>
        <v>0</v>
      </c>
      <c r="AN28" s="46">
        <f t="shared" si="31"/>
        <v>0</v>
      </c>
      <c r="AO28" s="46">
        <f t="shared" si="32"/>
        <v>0</v>
      </c>
      <c r="AP28" s="46">
        <f t="shared" si="33"/>
        <v>0</v>
      </c>
      <c r="AQ28" s="46">
        <f t="shared" si="34"/>
        <v>0</v>
      </c>
      <c r="AR28" s="46">
        <f t="shared" si="35"/>
        <v>0</v>
      </c>
      <c r="AS28" s="46">
        <f t="shared" si="36"/>
        <v>0</v>
      </c>
      <c r="AT28" s="46">
        <f t="shared" si="37"/>
        <v>0</v>
      </c>
      <c r="AU28" s="46">
        <f t="shared" si="38"/>
        <v>0</v>
      </c>
      <c r="AV28" s="46">
        <f t="shared" si="39"/>
        <v>0</v>
      </c>
      <c r="AW28" s="46">
        <f t="shared" si="40"/>
        <v>0</v>
      </c>
      <c r="AX28" s="46">
        <f t="shared" si="41"/>
        <v>0</v>
      </c>
      <c r="AY28" s="46">
        <f t="shared" si="42"/>
        <v>0</v>
      </c>
      <c r="AZ28" s="47">
        <f t="shared" si="43"/>
        <v>0</v>
      </c>
      <c r="BA28" s="45">
        <f t="shared" si="44"/>
        <v>0</v>
      </c>
      <c r="BB28" s="46">
        <f t="shared" si="45"/>
        <v>0</v>
      </c>
      <c r="BC28" s="46">
        <f t="shared" si="46"/>
        <v>0</v>
      </c>
      <c r="BD28" s="46">
        <f t="shared" si="47"/>
        <v>0</v>
      </c>
      <c r="BE28" s="46">
        <f t="shared" si="48"/>
        <v>0</v>
      </c>
      <c r="BF28" s="46">
        <f t="shared" si="49"/>
        <v>0</v>
      </c>
      <c r="BG28" s="46">
        <f t="shared" si="50"/>
        <v>0</v>
      </c>
      <c r="BH28" s="46">
        <f t="shared" si="51"/>
        <v>0</v>
      </c>
      <c r="BI28" s="46">
        <f t="shared" si="52"/>
        <v>0</v>
      </c>
      <c r="BJ28" s="46">
        <f t="shared" si="53"/>
        <v>0</v>
      </c>
      <c r="BK28" s="46">
        <f t="shared" si="54"/>
        <v>0</v>
      </c>
      <c r="BL28" s="46">
        <f t="shared" si="55"/>
        <v>0</v>
      </c>
      <c r="BM28" s="46">
        <f t="shared" si="56"/>
        <v>0</v>
      </c>
      <c r="BN28" s="46">
        <f t="shared" si="57"/>
        <v>0</v>
      </c>
      <c r="BO28" s="47">
        <f t="shared" si="58"/>
        <v>0</v>
      </c>
      <c r="BP28" s="48">
        <f t="shared" si="59"/>
        <v>0</v>
      </c>
      <c r="BQ28" s="46">
        <f t="shared" si="60"/>
        <v>0</v>
      </c>
      <c r="BR28" s="46">
        <f t="shared" si="61"/>
        <v>0</v>
      </c>
      <c r="BS28" s="46">
        <f t="shared" si="62"/>
        <v>0</v>
      </c>
      <c r="BT28" s="46">
        <f t="shared" si="63"/>
        <v>0</v>
      </c>
      <c r="BU28" s="46">
        <f t="shared" si="64"/>
        <v>0</v>
      </c>
      <c r="BV28" s="46">
        <f t="shared" si="65"/>
        <v>0</v>
      </c>
      <c r="BW28" s="46">
        <f t="shared" si="66"/>
        <v>0</v>
      </c>
      <c r="BX28" s="46">
        <f t="shared" si="67"/>
        <v>0</v>
      </c>
      <c r="BY28" s="46">
        <f t="shared" si="68"/>
        <v>0</v>
      </c>
      <c r="BZ28" s="46">
        <f t="shared" si="69"/>
        <v>0</v>
      </c>
      <c r="CA28" s="46">
        <f t="shared" si="70"/>
        <v>0</v>
      </c>
      <c r="CB28" s="46">
        <f t="shared" si="71"/>
        <v>0</v>
      </c>
      <c r="CC28" s="46">
        <f t="shared" si="72"/>
        <v>0</v>
      </c>
      <c r="CD28" s="46">
        <f t="shared" si="73"/>
        <v>0</v>
      </c>
      <c r="CE28" s="45">
        <f t="shared" si="74"/>
        <v>0</v>
      </c>
      <c r="CF28" s="46">
        <f t="shared" si="75"/>
        <v>0</v>
      </c>
      <c r="CG28" s="46">
        <f t="shared" si="76"/>
        <v>0</v>
      </c>
      <c r="CH28" s="46">
        <f t="shared" si="77"/>
        <v>0</v>
      </c>
      <c r="CI28" s="46">
        <f t="shared" si="78"/>
        <v>0</v>
      </c>
      <c r="CJ28" s="46">
        <f t="shared" si="79"/>
        <v>0</v>
      </c>
      <c r="CK28" s="46">
        <f t="shared" si="80"/>
        <v>0</v>
      </c>
      <c r="CL28" s="46">
        <f t="shared" si="81"/>
        <v>0</v>
      </c>
      <c r="CM28" s="46">
        <f t="shared" si="82"/>
        <v>0</v>
      </c>
      <c r="CN28" s="46">
        <f t="shared" si="83"/>
        <v>0</v>
      </c>
      <c r="CO28" s="46">
        <f t="shared" si="84"/>
        <v>0</v>
      </c>
      <c r="CP28" s="46">
        <f t="shared" si="85"/>
        <v>0</v>
      </c>
      <c r="CQ28" s="46">
        <f t="shared" si="86"/>
        <v>0</v>
      </c>
      <c r="CR28" s="46">
        <f t="shared" si="87"/>
        <v>0</v>
      </c>
      <c r="CS28" s="46">
        <f t="shared" si="88"/>
        <v>0</v>
      </c>
      <c r="CT28" s="45">
        <f t="shared" si="89"/>
        <v>0</v>
      </c>
      <c r="CU28" s="46">
        <f t="shared" si="90"/>
        <v>0</v>
      </c>
      <c r="CV28" s="46">
        <f t="shared" si="91"/>
        <v>0</v>
      </c>
      <c r="CW28" s="46">
        <f t="shared" si="92"/>
        <v>0</v>
      </c>
      <c r="CX28" s="46">
        <f t="shared" si="93"/>
        <v>0</v>
      </c>
      <c r="CY28" s="46">
        <f t="shared" si="94"/>
        <v>0</v>
      </c>
      <c r="CZ28" s="46">
        <f t="shared" si="95"/>
        <v>0</v>
      </c>
      <c r="DA28" s="46">
        <f t="shared" si="96"/>
        <v>0</v>
      </c>
      <c r="DB28" s="46">
        <f t="shared" si="97"/>
        <v>0</v>
      </c>
      <c r="DC28" s="46">
        <f t="shared" si="98"/>
        <v>0</v>
      </c>
      <c r="DD28" s="46">
        <f t="shared" si="99"/>
        <v>0</v>
      </c>
      <c r="DE28" s="46">
        <f t="shared" si="100"/>
        <v>0</v>
      </c>
      <c r="DF28" s="46">
        <f t="shared" si="101"/>
        <v>0</v>
      </c>
      <c r="DG28" s="46">
        <f t="shared" si="102"/>
        <v>0</v>
      </c>
      <c r="DH28" s="47">
        <f t="shared" si="103"/>
        <v>0</v>
      </c>
      <c r="DI28" s="49">
        <f t="shared" si="104"/>
        <v>0</v>
      </c>
      <c r="DJ28" s="50">
        <f t="shared" si="105"/>
        <v>21</v>
      </c>
      <c r="DK28" s="50">
        <f t="shared" si="106"/>
        <v>0</v>
      </c>
      <c r="DL28" s="51">
        <f t="shared" si="107"/>
        <v>0</v>
      </c>
      <c r="DM28" s="51">
        <f t="shared" si="108"/>
        <v>0</v>
      </c>
      <c r="DN28" s="51">
        <f t="shared" si="109"/>
        <v>0</v>
      </c>
      <c r="DO28" s="52">
        <f t="shared" si="110"/>
        <v>0</v>
      </c>
      <c r="DP28" s="52">
        <f t="shared" si="111"/>
        <v>0</v>
      </c>
      <c r="DQ28" s="52">
        <f t="shared" si="112"/>
        <v>0</v>
      </c>
      <c r="DR28" s="53">
        <f t="shared" si="113"/>
        <v>0</v>
      </c>
      <c r="DS28" s="53">
        <f t="shared" si="114"/>
        <v>0</v>
      </c>
      <c r="DT28" s="53">
        <f t="shared" si="115"/>
        <v>0</v>
      </c>
      <c r="DU28" s="54">
        <f t="shared" si="116"/>
        <v>0</v>
      </c>
      <c r="DV28" s="54">
        <f t="shared" si="117"/>
        <v>0</v>
      </c>
      <c r="DW28" s="54">
        <f t="shared" si="118"/>
        <v>0</v>
      </c>
      <c r="DX28" s="55">
        <f t="shared" si="119"/>
        <v>0</v>
      </c>
      <c r="DY28" s="55">
        <f t="shared" si="120"/>
        <v>0</v>
      </c>
      <c r="DZ28" s="55">
        <f t="shared" si="121"/>
        <v>0</v>
      </c>
      <c r="EA28" s="56">
        <f t="shared" si="122"/>
        <v>0</v>
      </c>
      <c r="EB28" s="56">
        <f t="shared" si="123"/>
        <v>0</v>
      </c>
      <c r="EC28" s="56">
        <f t="shared" si="124"/>
        <v>0</v>
      </c>
    </row>
    <row r="29" spans="1:133" s="57" customFormat="1" ht="19.5" x14ac:dyDescent="0.25">
      <c r="A29" s="40">
        <v>1</v>
      </c>
      <c r="B29" s="71"/>
      <c r="C29" s="71"/>
      <c r="D29" s="71"/>
      <c r="E29" s="71"/>
      <c r="F29" s="58" t="s">
        <v>60</v>
      </c>
      <c r="G29" s="60" t="s">
        <v>61</v>
      </c>
      <c r="H29" s="45">
        <f t="shared" si="2"/>
        <v>0</v>
      </c>
      <c r="I29" s="46">
        <f t="shared" si="3"/>
        <v>0</v>
      </c>
      <c r="J29" s="46">
        <f t="shared" si="126"/>
        <v>0</v>
      </c>
      <c r="K29" s="46">
        <f t="shared" si="7"/>
        <v>0</v>
      </c>
      <c r="L29" s="46">
        <f>E29*$L$6</f>
        <v>0</v>
      </c>
      <c r="M29" s="46">
        <f t="shared" si="4"/>
        <v>0</v>
      </c>
      <c r="N29" s="46">
        <f t="shared" si="129"/>
        <v>0</v>
      </c>
      <c r="O29" s="46">
        <f t="shared" si="5"/>
        <v>0</v>
      </c>
      <c r="P29" s="46">
        <f t="shared" si="6"/>
        <v>0</v>
      </c>
      <c r="Q29" s="46">
        <f t="shared" si="8"/>
        <v>0</v>
      </c>
      <c r="R29" s="46">
        <f t="shared" si="9"/>
        <v>0</v>
      </c>
      <c r="S29" s="46">
        <f t="shared" si="10"/>
        <v>0</v>
      </c>
      <c r="T29" s="46">
        <f t="shared" si="11"/>
        <v>0</v>
      </c>
      <c r="U29" s="46">
        <f t="shared" si="12"/>
        <v>0</v>
      </c>
      <c r="V29" s="47">
        <f t="shared" si="13"/>
        <v>0</v>
      </c>
      <c r="W29" s="48">
        <f t="shared" si="14"/>
        <v>0</v>
      </c>
      <c r="X29" s="46">
        <f t="shared" si="15"/>
        <v>0</v>
      </c>
      <c r="Y29" s="46">
        <f t="shared" si="16"/>
        <v>0</v>
      </c>
      <c r="Z29" s="46">
        <f t="shared" si="17"/>
        <v>0</v>
      </c>
      <c r="AA29" s="46">
        <f t="shared" si="18"/>
        <v>0</v>
      </c>
      <c r="AB29" s="46">
        <f t="shared" si="19"/>
        <v>0</v>
      </c>
      <c r="AC29" s="46">
        <f t="shared" si="20"/>
        <v>0</v>
      </c>
      <c r="AD29" s="46">
        <f t="shared" si="21"/>
        <v>0</v>
      </c>
      <c r="AE29" s="46">
        <f t="shared" si="22"/>
        <v>0</v>
      </c>
      <c r="AF29" s="46">
        <f t="shared" si="23"/>
        <v>0</v>
      </c>
      <c r="AG29" s="46">
        <f t="shared" si="24"/>
        <v>0</v>
      </c>
      <c r="AH29" s="46">
        <f t="shared" si="25"/>
        <v>0</v>
      </c>
      <c r="AI29" s="46">
        <f t="shared" si="26"/>
        <v>0</v>
      </c>
      <c r="AJ29" s="46">
        <f t="shared" si="27"/>
        <v>0</v>
      </c>
      <c r="AK29" s="46">
        <f t="shared" si="28"/>
        <v>0</v>
      </c>
      <c r="AL29" s="45">
        <f t="shared" si="29"/>
        <v>0</v>
      </c>
      <c r="AM29" s="46">
        <f t="shared" si="30"/>
        <v>0</v>
      </c>
      <c r="AN29" s="46">
        <f t="shared" si="31"/>
        <v>0</v>
      </c>
      <c r="AO29" s="46">
        <f t="shared" si="32"/>
        <v>0</v>
      </c>
      <c r="AP29" s="46">
        <f t="shared" si="33"/>
        <v>0</v>
      </c>
      <c r="AQ29" s="46">
        <f t="shared" si="34"/>
        <v>0</v>
      </c>
      <c r="AR29" s="46">
        <f t="shared" si="35"/>
        <v>0</v>
      </c>
      <c r="AS29" s="46">
        <f t="shared" si="36"/>
        <v>0</v>
      </c>
      <c r="AT29" s="46">
        <f t="shared" si="37"/>
        <v>0</v>
      </c>
      <c r="AU29" s="46">
        <f t="shared" si="38"/>
        <v>0</v>
      </c>
      <c r="AV29" s="46">
        <f t="shared" si="39"/>
        <v>0</v>
      </c>
      <c r="AW29" s="46">
        <f t="shared" si="40"/>
        <v>0</v>
      </c>
      <c r="AX29" s="46">
        <f t="shared" si="41"/>
        <v>0</v>
      </c>
      <c r="AY29" s="46">
        <f t="shared" si="42"/>
        <v>0</v>
      </c>
      <c r="AZ29" s="47">
        <f t="shared" si="43"/>
        <v>0</v>
      </c>
      <c r="BA29" s="45">
        <f t="shared" si="44"/>
        <v>0</v>
      </c>
      <c r="BB29" s="46">
        <f t="shared" si="45"/>
        <v>0</v>
      </c>
      <c r="BC29" s="46">
        <f t="shared" si="46"/>
        <v>0</v>
      </c>
      <c r="BD29" s="46">
        <f t="shared" si="47"/>
        <v>0</v>
      </c>
      <c r="BE29" s="46">
        <f t="shared" si="48"/>
        <v>0</v>
      </c>
      <c r="BF29" s="46">
        <f t="shared" si="49"/>
        <v>0</v>
      </c>
      <c r="BG29" s="46">
        <f t="shared" si="50"/>
        <v>0</v>
      </c>
      <c r="BH29" s="46">
        <f t="shared" si="51"/>
        <v>0</v>
      </c>
      <c r="BI29" s="46">
        <f t="shared" si="52"/>
        <v>0</v>
      </c>
      <c r="BJ29" s="46">
        <f t="shared" si="53"/>
        <v>0</v>
      </c>
      <c r="BK29" s="46">
        <f t="shared" si="54"/>
        <v>0</v>
      </c>
      <c r="BL29" s="46">
        <f t="shared" si="55"/>
        <v>0</v>
      </c>
      <c r="BM29" s="46">
        <f t="shared" si="56"/>
        <v>0</v>
      </c>
      <c r="BN29" s="46">
        <f t="shared" si="57"/>
        <v>0</v>
      </c>
      <c r="BO29" s="47">
        <f t="shared" si="58"/>
        <v>0</v>
      </c>
      <c r="BP29" s="48">
        <f t="shared" si="59"/>
        <v>0</v>
      </c>
      <c r="BQ29" s="46">
        <f t="shared" si="60"/>
        <v>0</v>
      </c>
      <c r="BR29" s="46">
        <f t="shared" si="61"/>
        <v>0</v>
      </c>
      <c r="BS29" s="46">
        <f t="shared" si="62"/>
        <v>0</v>
      </c>
      <c r="BT29" s="46">
        <f t="shared" si="63"/>
        <v>0</v>
      </c>
      <c r="BU29" s="46">
        <f t="shared" si="64"/>
        <v>0</v>
      </c>
      <c r="BV29" s="46">
        <f t="shared" si="65"/>
        <v>0</v>
      </c>
      <c r="BW29" s="46">
        <f t="shared" si="66"/>
        <v>0</v>
      </c>
      <c r="BX29" s="46">
        <f t="shared" si="67"/>
        <v>0</v>
      </c>
      <c r="BY29" s="46">
        <f t="shared" si="68"/>
        <v>0</v>
      </c>
      <c r="BZ29" s="46">
        <f t="shared" si="69"/>
        <v>0</v>
      </c>
      <c r="CA29" s="46">
        <f t="shared" si="70"/>
        <v>0</v>
      </c>
      <c r="CB29" s="46">
        <f t="shared" si="71"/>
        <v>0</v>
      </c>
      <c r="CC29" s="46">
        <f t="shared" si="72"/>
        <v>0</v>
      </c>
      <c r="CD29" s="46">
        <f t="shared" si="73"/>
        <v>0</v>
      </c>
      <c r="CE29" s="45">
        <f t="shared" si="74"/>
        <v>0</v>
      </c>
      <c r="CF29" s="46">
        <f t="shared" si="75"/>
        <v>0</v>
      </c>
      <c r="CG29" s="46">
        <f t="shared" si="76"/>
        <v>0</v>
      </c>
      <c r="CH29" s="46">
        <f t="shared" si="77"/>
        <v>0</v>
      </c>
      <c r="CI29" s="46">
        <f t="shared" si="78"/>
        <v>0</v>
      </c>
      <c r="CJ29" s="46">
        <f t="shared" si="79"/>
        <v>0</v>
      </c>
      <c r="CK29" s="46">
        <f t="shared" si="80"/>
        <v>0</v>
      </c>
      <c r="CL29" s="46">
        <f t="shared" si="81"/>
        <v>0</v>
      </c>
      <c r="CM29" s="46">
        <f t="shared" si="82"/>
        <v>0</v>
      </c>
      <c r="CN29" s="46">
        <f t="shared" si="83"/>
        <v>0</v>
      </c>
      <c r="CO29" s="46">
        <f t="shared" si="84"/>
        <v>0</v>
      </c>
      <c r="CP29" s="46">
        <f t="shared" si="85"/>
        <v>0</v>
      </c>
      <c r="CQ29" s="46">
        <f t="shared" si="86"/>
        <v>0</v>
      </c>
      <c r="CR29" s="46">
        <f t="shared" si="87"/>
        <v>0</v>
      </c>
      <c r="CS29" s="46">
        <f t="shared" si="88"/>
        <v>0</v>
      </c>
      <c r="CT29" s="45">
        <f t="shared" si="89"/>
        <v>0</v>
      </c>
      <c r="CU29" s="46">
        <f t="shared" si="90"/>
        <v>0</v>
      </c>
      <c r="CV29" s="46">
        <f t="shared" si="91"/>
        <v>0</v>
      </c>
      <c r="CW29" s="46">
        <f t="shared" si="92"/>
        <v>0</v>
      </c>
      <c r="CX29" s="46">
        <f t="shared" si="93"/>
        <v>0</v>
      </c>
      <c r="CY29" s="46">
        <f t="shared" si="94"/>
        <v>0</v>
      </c>
      <c r="CZ29" s="46">
        <f t="shared" si="95"/>
        <v>0</v>
      </c>
      <c r="DA29" s="46">
        <f t="shared" si="96"/>
        <v>0</v>
      </c>
      <c r="DB29" s="46">
        <f t="shared" si="97"/>
        <v>0</v>
      </c>
      <c r="DC29" s="46">
        <f t="shared" si="98"/>
        <v>0</v>
      </c>
      <c r="DD29" s="46">
        <f t="shared" si="99"/>
        <v>0</v>
      </c>
      <c r="DE29" s="46">
        <f t="shared" si="100"/>
        <v>0</v>
      </c>
      <c r="DF29" s="46">
        <f t="shared" si="101"/>
        <v>0</v>
      </c>
      <c r="DG29" s="46">
        <f t="shared" si="102"/>
        <v>0</v>
      </c>
      <c r="DH29" s="47">
        <f t="shared" si="103"/>
        <v>0</v>
      </c>
      <c r="DI29" s="49">
        <f t="shared" si="104"/>
        <v>0</v>
      </c>
      <c r="DJ29" s="50">
        <f t="shared" si="105"/>
        <v>0</v>
      </c>
      <c r="DK29" s="50">
        <f t="shared" si="106"/>
        <v>0</v>
      </c>
      <c r="DL29" s="51">
        <f t="shared" si="107"/>
        <v>0</v>
      </c>
      <c r="DM29" s="51">
        <f t="shared" si="108"/>
        <v>0</v>
      </c>
      <c r="DN29" s="51">
        <f t="shared" si="109"/>
        <v>0</v>
      </c>
      <c r="DO29" s="52">
        <f t="shared" si="110"/>
        <v>0</v>
      </c>
      <c r="DP29" s="52">
        <f t="shared" si="111"/>
        <v>0</v>
      </c>
      <c r="DQ29" s="52">
        <f t="shared" si="112"/>
        <v>0</v>
      </c>
      <c r="DR29" s="53">
        <f t="shared" si="113"/>
        <v>0</v>
      </c>
      <c r="DS29" s="53">
        <f t="shared" si="114"/>
        <v>0</v>
      </c>
      <c r="DT29" s="53">
        <f t="shared" si="115"/>
        <v>0</v>
      </c>
      <c r="DU29" s="54">
        <f t="shared" si="116"/>
        <v>0</v>
      </c>
      <c r="DV29" s="54">
        <f t="shared" si="117"/>
        <v>0</v>
      </c>
      <c r="DW29" s="54">
        <f t="shared" si="118"/>
        <v>0</v>
      </c>
      <c r="DX29" s="55">
        <f t="shared" si="119"/>
        <v>0</v>
      </c>
      <c r="DY29" s="55">
        <f t="shared" si="120"/>
        <v>0</v>
      </c>
      <c r="DZ29" s="55">
        <f t="shared" si="121"/>
        <v>0</v>
      </c>
      <c r="EA29" s="56">
        <f t="shared" si="122"/>
        <v>0</v>
      </c>
      <c r="EB29" s="56">
        <f t="shared" si="123"/>
        <v>0</v>
      </c>
      <c r="EC29" s="56">
        <f t="shared" si="124"/>
        <v>0</v>
      </c>
    </row>
    <row r="30" spans="1:133" s="57" customFormat="1" ht="19.5" x14ac:dyDescent="0.25">
      <c r="A30" s="40">
        <v>1</v>
      </c>
      <c r="B30" s="71"/>
      <c r="C30" s="71"/>
      <c r="D30" s="72"/>
      <c r="E30" s="72"/>
      <c r="F30" s="61" t="s">
        <v>62</v>
      </c>
      <c r="G30" s="44" t="s">
        <v>63</v>
      </c>
      <c r="H30" s="45">
        <f t="shared" si="2"/>
        <v>0</v>
      </c>
      <c r="I30" s="46">
        <f t="shared" si="3"/>
        <v>0</v>
      </c>
      <c r="J30" s="46">
        <f t="shared" si="126"/>
        <v>0</v>
      </c>
      <c r="K30" s="46">
        <f t="shared" si="7"/>
        <v>0</v>
      </c>
      <c r="L30" s="46">
        <f t="shared" ref="L30:L31" si="130">E30*$L$6</f>
        <v>0</v>
      </c>
      <c r="M30" s="46">
        <f t="shared" si="4"/>
        <v>0</v>
      </c>
      <c r="N30" s="46">
        <f t="shared" si="129"/>
        <v>0</v>
      </c>
      <c r="O30" s="46">
        <f t="shared" si="5"/>
        <v>0</v>
      </c>
      <c r="P30" s="46">
        <f t="shared" si="6"/>
        <v>0</v>
      </c>
      <c r="Q30" s="46">
        <f t="shared" si="8"/>
        <v>0</v>
      </c>
      <c r="R30" s="46">
        <f t="shared" si="9"/>
        <v>0</v>
      </c>
      <c r="S30" s="46">
        <f t="shared" si="10"/>
        <v>0</v>
      </c>
      <c r="T30" s="46">
        <f>C30*$T$6</f>
        <v>0</v>
      </c>
      <c r="U30" s="46">
        <f t="shared" si="12"/>
        <v>0</v>
      </c>
      <c r="V30" s="47">
        <f t="shared" si="13"/>
        <v>0</v>
      </c>
      <c r="W30" s="48">
        <f t="shared" si="14"/>
        <v>0</v>
      </c>
      <c r="X30" s="46">
        <f t="shared" si="15"/>
        <v>0</v>
      </c>
      <c r="Y30" s="46">
        <f t="shared" si="16"/>
        <v>0</v>
      </c>
      <c r="Z30" s="46">
        <f t="shared" si="17"/>
        <v>0</v>
      </c>
      <c r="AA30" s="46">
        <f t="shared" si="18"/>
        <v>0</v>
      </c>
      <c r="AB30" s="46">
        <f t="shared" si="19"/>
        <v>0</v>
      </c>
      <c r="AC30" s="46">
        <f t="shared" si="20"/>
        <v>0</v>
      </c>
      <c r="AD30" s="46">
        <f t="shared" si="21"/>
        <v>0</v>
      </c>
      <c r="AE30" s="46">
        <f t="shared" si="22"/>
        <v>0</v>
      </c>
      <c r="AF30" s="46">
        <f t="shared" si="23"/>
        <v>0</v>
      </c>
      <c r="AG30" s="46">
        <f t="shared" si="24"/>
        <v>0</v>
      </c>
      <c r="AH30" s="46">
        <f t="shared" si="25"/>
        <v>0</v>
      </c>
      <c r="AI30" s="46">
        <f t="shared" si="26"/>
        <v>0</v>
      </c>
      <c r="AJ30" s="46">
        <f t="shared" si="27"/>
        <v>0</v>
      </c>
      <c r="AK30" s="46">
        <f t="shared" si="28"/>
        <v>0</v>
      </c>
      <c r="AL30" s="45">
        <f t="shared" si="29"/>
        <v>0</v>
      </c>
      <c r="AM30" s="46">
        <f t="shared" si="30"/>
        <v>0</v>
      </c>
      <c r="AN30" s="46">
        <f t="shared" si="31"/>
        <v>0</v>
      </c>
      <c r="AO30" s="46">
        <f t="shared" si="32"/>
        <v>0</v>
      </c>
      <c r="AP30" s="46">
        <f t="shared" si="33"/>
        <v>0</v>
      </c>
      <c r="AQ30" s="46">
        <f t="shared" si="34"/>
        <v>0</v>
      </c>
      <c r="AR30" s="46">
        <f t="shared" si="35"/>
        <v>0</v>
      </c>
      <c r="AS30" s="46">
        <f t="shared" si="36"/>
        <v>0</v>
      </c>
      <c r="AT30" s="46">
        <f t="shared" si="37"/>
        <v>0</v>
      </c>
      <c r="AU30" s="46">
        <f t="shared" si="38"/>
        <v>0</v>
      </c>
      <c r="AV30" s="46">
        <f t="shared" si="39"/>
        <v>0</v>
      </c>
      <c r="AW30" s="46">
        <f t="shared" si="40"/>
        <v>0</v>
      </c>
      <c r="AX30" s="46">
        <f t="shared" si="41"/>
        <v>0</v>
      </c>
      <c r="AY30" s="46">
        <f t="shared" si="42"/>
        <v>0</v>
      </c>
      <c r="AZ30" s="47">
        <f t="shared" si="43"/>
        <v>0</v>
      </c>
      <c r="BA30" s="45">
        <f t="shared" si="44"/>
        <v>0</v>
      </c>
      <c r="BB30" s="46">
        <f t="shared" si="45"/>
        <v>0</v>
      </c>
      <c r="BC30" s="46">
        <f t="shared" si="46"/>
        <v>0</v>
      </c>
      <c r="BD30" s="46">
        <f t="shared" si="47"/>
        <v>0</v>
      </c>
      <c r="BE30" s="46">
        <f t="shared" si="48"/>
        <v>0</v>
      </c>
      <c r="BF30" s="46">
        <f t="shared" si="49"/>
        <v>0</v>
      </c>
      <c r="BG30" s="46">
        <f t="shared" si="50"/>
        <v>0</v>
      </c>
      <c r="BH30" s="46">
        <f t="shared" si="51"/>
        <v>0</v>
      </c>
      <c r="BI30" s="46">
        <f t="shared" si="52"/>
        <v>0</v>
      </c>
      <c r="BJ30" s="46">
        <f t="shared" si="53"/>
        <v>0</v>
      </c>
      <c r="BK30" s="46">
        <f t="shared" si="54"/>
        <v>0</v>
      </c>
      <c r="BL30" s="46">
        <f t="shared" si="55"/>
        <v>0</v>
      </c>
      <c r="BM30" s="46">
        <f t="shared" si="56"/>
        <v>0</v>
      </c>
      <c r="BN30" s="46">
        <f t="shared" si="57"/>
        <v>0</v>
      </c>
      <c r="BO30" s="47">
        <f t="shared" si="58"/>
        <v>0</v>
      </c>
      <c r="BP30" s="48">
        <f t="shared" si="59"/>
        <v>0</v>
      </c>
      <c r="BQ30" s="46">
        <f t="shared" si="60"/>
        <v>0</v>
      </c>
      <c r="BR30" s="46">
        <f t="shared" si="61"/>
        <v>0</v>
      </c>
      <c r="BS30" s="46">
        <f t="shared" si="62"/>
        <v>0</v>
      </c>
      <c r="BT30" s="46">
        <f t="shared" si="63"/>
        <v>0</v>
      </c>
      <c r="BU30" s="46">
        <f t="shared" si="64"/>
        <v>0</v>
      </c>
      <c r="BV30" s="46">
        <f t="shared" si="65"/>
        <v>0</v>
      </c>
      <c r="BW30" s="46">
        <f t="shared" si="66"/>
        <v>0</v>
      </c>
      <c r="BX30" s="46">
        <f t="shared" si="67"/>
        <v>0</v>
      </c>
      <c r="BY30" s="46">
        <f t="shared" si="68"/>
        <v>0</v>
      </c>
      <c r="BZ30" s="46">
        <f t="shared" si="69"/>
        <v>0</v>
      </c>
      <c r="CA30" s="46">
        <f t="shared" si="70"/>
        <v>0</v>
      </c>
      <c r="CB30" s="46">
        <f t="shared" si="71"/>
        <v>0</v>
      </c>
      <c r="CC30" s="46">
        <f t="shared" si="72"/>
        <v>0</v>
      </c>
      <c r="CD30" s="46">
        <f t="shared" si="73"/>
        <v>0</v>
      </c>
      <c r="CE30" s="45">
        <f t="shared" si="74"/>
        <v>0</v>
      </c>
      <c r="CF30" s="46">
        <f t="shared" si="75"/>
        <v>0</v>
      </c>
      <c r="CG30" s="46">
        <f t="shared" si="76"/>
        <v>0</v>
      </c>
      <c r="CH30" s="46">
        <f t="shared" si="77"/>
        <v>0</v>
      </c>
      <c r="CI30" s="46">
        <f t="shared" si="78"/>
        <v>0</v>
      </c>
      <c r="CJ30" s="46">
        <f t="shared" si="79"/>
        <v>0</v>
      </c>
      <c r="CK30" s="46">
        <f t="shared" si="80"/>
        <v>0</v>
      </c>
      <c r="CL30" s="46">
        <f t="shared" si="81"/>
        <v>0</v>
      </c>
      <c r="CM30" s="46">
        <f t="shared" si="82"/>
        <v>0</v>
      </c>
      <c r="CN30" s="46">
        <f t="shared" si="83"/>
        <v>0</v>
      </c>
      <c r="CO30" s="46">
        <f t="shared" si="84"/>
        <v>0</v>
      </c>
      <c r="CP30" s="46">
        <f t="shared" si="85"/>
        <v>0</v>
      </c>
      <c r="CQ30" s="46">
        <f t="shared" si="86"/>
        <v>0</v>
      </c>
      <c r="CR30" s="46">
        <f t="shared" si="87"/>
        <v>0</v>
      </c>
      <c r="CS30" s="46">
        <f t="shared" si="88"/>
        <v>0</v>
      </c>
      <c r="CT30" s="45">
        <f t="shared" si="89"/>
        <v>0</v>
      </c>
      <c r="CU30" s="46">
        <f t="shared" si="90"/>
        <v>0</v>
      </c>
      <c r="CV30" s="46">
        <f t="shared" si="91"/>
        <v>0</v>
      </c>
      <c r="CW30" s="46">
        <f t="shared" si="92"/>
        <v>0</v>
      </c>
      <c r="CX30" s="46">
        <f t="shared" si="93"/>
        <v>0</v>
      </c>
      <c r="CY30" s="46">
        <f t="shared" si="94"/>
        <v>0</v>
      </c>
      <c r="CZ30" s="46">
        <f t="shared" si="95"/>
        <v>0</v>
      </c>
      <c r="DA30" s="46">
        <f t="shared" si="96"/>
        <v>0</v>
      </c>
      <c r="DB30" s="46">
        <f t="shared" si="97"/>
        <v>0</v>
      </c>
      <c r="DC30" s="46">
        <f t="shared" si="98"/>
        <v>0</v>
      </c>
      <c r="DD30" s="46">
        <f t="shared" si="99"/>
        <v>0</v>
      </c>
      <c r="DE30" s="46">
        <f t="shared" si="100"/>
        <v>0</v>
      </c>
      <c r="DF30" s="46">
        <f t="shared" si="101"/>
        <v>0</v>
      </c>
      <c r="DG30" s="46">
        <f t="shared" si="102"/>
        <v>0</v>
      </c>
      <c r="DH30" s="47">
        <f t="shared" si="103"/>
        <v>0</v>
      </c>
      <c r="DI30" s="49">
        <f t="shared" si="104"/>
        <v>0</v>
      </c>
      <c r="DJ30" s="50">
        <f t="shared" si="105"/>
        <v>0</v>
      </c>
      <c r="DK30" s="50">
        <f t="shared" si="106"/>
        <v>0</v>
      </c>
      <c r="DL30" s="51">
        <f t="shared" si="107"/>
        <v>0</v>
      </c>
      <c r="DM30" s="51">
        <f t="shared" si="108"/>
        <v>0</v>
      </c>
      <c r="DN30" s="51">
        <f t="shared" si="109"/>
        <v>0</v>
      </c>
      <c r="DO30" s="52">
        <f t="shared" si="110"/>
        <v>0</v>
      </c>
      <c r="DP30" s="52">
        <f t="shared" si="111"/>
        <v>0</v>
      </c>
      <c r="DQ30" s="52">
        <f t="shared" si="112"/>
        <v>0</v>
      </c>
      <c r="DR30" s="53">
        <f t="shared" si="113"/>
        <v>0</v>
      </c>
      <c r="DS30" s="53">
        <f t="shared" si="114"/>
        <v>0</v>
      </c>
      <c r="DT30" s="53">
        <f t="shared" si="115"/>
        <v>0</v>
      </c>
      <c r="DU30" s="54">
        <f t="shared" si="116"/>
        <v>0</v>
      </c>
      <c r="DV30" s="54">
        <f t="shared" si="117"/>
        <v>0</v>
      </c>
      <c r="DW30" s="54">
        <f t="shared" si="118"/>
        <v>0</v>
      </c>
      <c r="DX30" s="55">
        <f t="shared" si="119"/>
        <v>0</v>
      </c>
      <c r="DY30" s="55">
        <f t="shared" si="120"/>
        <v>0</v>
      </c>
      <c r="DZ30" s="55">
        <f t="shared" si="121"/>
        <v>0</v>
      </c>
      <c r="EA30" s="56">
        <f t="shared" si="122"/>
        <v>0</v>
      </c>
      <c r="EB30" s="56">
        <f t="shared" si="123"/>
        <v>0</v>
      </c>
      <c r="EC30" s="56">
        <f t="shared" si="124"/>
        <v>0</v>
      </c>
    </row>
    <row r="31" spans="1:133" s="57" customFormat="1" ht="20.25" thickBot="1" x14ac:dyDescent="0.3">
      <c r="A31" s="40"/>
      <c r="B31" s="71"/>
      <c r="C31" s="68">
        <v>0.01</v>
      </c>
      <c r="D31" s="69">
        <v>0.01</v>
      </c>
      <c r="E31" s="69"/>
      <c r="F31" s="43" t="s">
        <v>64</v>
      </c>
      <c r="G31" s="44" t="s">
        <v>65</v>
      </c>
      <c r="H31" s="74">
        <f t="shared" si="2"/>
        <v>0</v>
      </c>
      <c r="I31" s="75">
        <f t="shared" si="3"/>
        <v>0</v>
      </c>
      <c r="J31" s="75">
        <f>C31*$J$6</f>
        <v>0.28000000000000003</v>
      </c>
      <c r="K31" s="75">
        <f t="shared" si="7"/>
        <v>0</v>
      </c>
      <c r="L31" s="75">
        <f t="shared" si="130"/>
        <v>0</v>
      </c>
      <c r="M31" s="75">
        <f t="shared" si="4"/>
        <v>0</v>
      </c>
      <c r="N31" s="75">
        <f>A31*$N$6</f>
        <v>0</v>
      </c>
      <c r="O31" s="75">
        <f t="shared" si="5"/>
        <v>0.13</v>
      </c>
      <c r="P31" s="75">
        <f t="shared" si="6"/>
        <v>0</v>
      </c>
      <c r="Q31" s="75">
        <f t="shared" si="8"/>
        <v>0</v>
      </c>
      <c r="R31" s="75">
        <f t="shared" si="9"/>
        <v>0</v>
      </c>
      <c r="S31" s="75">
        <f t="shared" si="10"/>
        <v>0</v>
      </c>
      <c r="T31" s="75">
        <f t="shared" si="11"/>
        <v>0</v>
      </c>
      <c r="U31" s="75">
        <f t="shared" si="12"/>
        <v>0</v>
      </c>
      <c r="V31" s="76">
        <f t="shared" si="13"/>
        <v>0</v>
      </c>
      <c r="W31" s="77">
        <f t="shared" si="14"/>
        <v>0</v>
      </c>
      <c r="X31" s="75">
        <f t="shared" si="15"/>
        <v>0</v>
      </c>
      <c r="Y31" s="75">
        <f t="shared" si="16"/>
        <v>0.28000000000000003</v>
      </c>
      <c r="Z31" s="75">
        <f t="shared" si="17"/>
        <v>0</v>
      </c>
      <c r="AA31" s="75">
        <f t="shared" si="18"/>
        <v>0</v>
      </c>
      <c r="AB31" s="75">
        <f t="shared" si="19"/>
        <v>0</v>
      </c>
      <c r="AC31" s="75">
        <f t="shared" si="20"/>
        <v>0</v>
      </c>
      <c r="AD31" s="75">
        <f t="shared" si="21"/>
        <v>0.26</v>
      </c>
      <c r="AE31" s="75">
        <f t="shared" si="22"/>
        <v>0</v>
      </c>
      <c r="AF31" s="75">
        <f t="shared" si="23"/>
        <v>0</v>
      </c>
      <c r="AG31" s="75">
        <f t="shared" si="24"/>
        <v>0</v>
      </c>
      <c r="AH31" s="75">
        <f t="shared" si="25"/>
        <v>0</v>
      </c>
      <c r="AI31" s="75">
        <f t="shared" si="26"/>
        <v>0</v>
      </c>
      <c r="AJ31" s="75">
        <f t="shared" si="27"/>
        <v>0</v>
      </c>
      <c r="AK31" s="75">
        <f t="shared" si="28"/>
        <v>0</v>
      </c>
      <c r="AL31" s="74">
        <f t="shared" si="29"/>
        <v>0</v>
      </c>
      <c r="AM31" s="75">
        <f t="shared" si="30"/>
        <v>0</v>
      </c>
      <c r="AN31" s="75">
        <f t="shared" si="31"/>
        <v>0.28000000000000003</v>
      </c>
      <c r="AO31" s="75">
        <f t="shared" si="32"/>
        <v>0</v>
      </c>
      <c r="AP31" s="75">
        <f t="shared" si="33"/>
        <v>0</v>
      </c>
      <c r="AQ31" s="75">
        <f t="shared" si="34"/>
        <v>0</v>
      </c>
      <c r="AR31" s="75">
        <f t="shared" si="35"/>
        <v>0</v>
      </c>
      <c r="AS31" s="75">
        <f t="shared" si="36"/>
        <v>0.28000000000000003</v>
      </c>
      <c r="AT31" s="75">
        <f t="shared" si="37"/>
        <v>0</v>
      </c>
      <c r="AU31" s="75">
        <f t="shared" si="38"/>
        <v>0</v>
      </c>
      <c r="AV31" s="75">
        <f t="shared" si="39"/>
        <v>0</v>
      </c>
      <c r="AW31" s="75">
        <f t="shared" si="40"/>
        <v>0</v>
      </c>
      <c r="AX31" s="75">
        <f t="shared" si="41"/>
        <v>0</v>
      </c>
      <c r="AY31" s="75">
        <f t="shared" si="42"/>
        <v>0</v>
      </c>
      <c r="AZ31" s="76">
        <f t="shared" si="43"/>
        <v>0</v>
      </c>
      <c r="BA31" s="74">
        <f t="shared" si="44"/>
        <v>0</v>
      </c>
      <c r="BB31" s="75">
        <f t="shared" si="45"/>
        <v>0</v>
      </c>
      <c r="BC31" s="75">
        <f t="shared" si="46"/>
        <v>0.28000000000000003</v>
      </c>
      <c r="BD31" s="75">
        <f t="shared" si="47"/>
        <v>0</v>
      </c>
      <c r="BE31" s="75">
        <f t="shared" si="48"/>
        <v>0</v>
      </c>
      <c r="BF31" s="75">
        <f t="shared" si="49"/>
        <v>0</v>
      </c>
      <c r="BG31" s="75">
        <f t="shared" si="50"/>
        <v>0</v>
      </c>
      <c r="BH31" s="75">
        <f t="shared" si="51"/>
        <v>0.27</v>
      </c>
      <c r="BI31" s="75">
        <f t="shared" si="52"/>
        <v>0</v>
      </c>
      <c r="BJ31" s="75">
        <f t="shared" si="53"/>
        <v>0</v>
      </c>
      <c r="BK31" s="75">
        <f t="shared" si="54"/>
        <v>0</v>
      </c>
      <c r="BL31" s="75">
        <f t="shared" si="55"/>
        <v>0</v>
      </c>
      <c r="BM31" s="75">
        <f t="shared" si="56"/>
        <v>0</v>
      </c>
      <c r="BN31" s="75">
        <f t="shared" si="57"/>
        <v>0</v>
      </c>
      <c r="BO31" s="76">
        <f t="shared" si="58"/>
        <v>0</v>
      </c>
      <c r="BP31" s="77">
        <f t="shared" si="59"/>
        <v>0</v>
      </c>
      <c r="BQ31" s="75">
        <f t="shared" si="60"/>
        <v>0</v>
      </c>
      <c r="BR31" s="75">
        <f t="shared" si="61"/>
        <v>0</v>
      </c>
      <c r="BS31" s="75">
        <f t="shared" si="62"/>
        <v>0</v>
      </c>
      <c r="BT31" s="75">
        <f t="shared" si="63"/>
        <v>0</v>
      </c>
      <c r="BU31" s="75">
        <f t="shared" si="64"/>
        <v>0</v>
      </c>
      <c r="BV31" s="75">
        <f t="shared" si="65"/>
        <v>0</v>
      </c>
      <c r="BW31" s="75">
        <f t="shared" si="66"/>
        <v>0.14000000000000001</v>
      </c>
      <c r="BX31" s="75">
        <f t="shared" si="67"/>
        <v>0</v>
      </c>
      <c r="BY31" s="75">
        <f t="shared" si="68"/>
        <v>0</v>
      </c>
      <c r="BZ31" s="75">
        <f t="shared" si="69"/>
        <v>0</v>
      </c>
      <c r="CA31" s="75">
        <f t="shared" si="70"/>
        <v>0</v>
      </c>
      <c r="CB31" s="75">
        <f t="shared" si="71"/>
        <v>0</v>
      </c>
      <c r="CC31" s="75">
        <f t="shared" si="72"/>
        <v>0</v>
      </c>
      <c r="CD31" s="75">
        <f t="shared" si="73"/>
        <v>0</v>
      </c>
      <c r="CE31" s="74">
        <f t="shared" si="74"/>
        <v>0</v>
      </c>
      <c r="CF31" s="75">
        <f t="shared" si="75"/>
        <v>0</v>
      </c>
      <c r="CG31" s="75">
        <f t="shared" si="76"/>
        <v>0.14000000000000001</v>
      </c>
      <c r="CH31" s="75">
        <f t="shared" si="77"/>
        <v>0</v>
      </c>
      <c r="CI31" s="75">
        <f t="shared" si="78"/>
        <v>0</v>
      </c>
      <c r="CJ31" s="75">
        <f t="shared" si="79"/>
        <v>0</v>
      </c>
      <c r="CK31" s="75">
        <f t="shared" si="80"/>
        <v>0</v>
      </c>
      <c r="CL31" s="75">
        <f t="shared" si="81"/>
        <v>0.13</v>
      </c>
      <c r="CM31" s="75">
        <f t="shared" si="82"/>
        <v>0</v>
      </c>
      <c r="CN31" s="75">
        <f t="shared" si="83"/>
        <v>0</v>
      </c>
      <c r="CO31" s="75">
        <f t="shared" si="84"/>
        <v>0</v>
      </c>
      <c r="CP31" s="75">
        <f t="shared" si="85"/>
        <v>0</v>
      </c>
      <c r="CQ31" s="75">
        <f t="shared" si="86"/>
        <v>0</v>
      </c>
      <c r="CR31" s="75">
        <f t="shared" si="87"/>
        <v>0</v>
      </c>
      <c r="CS31" s="75">
        <f t="shared" si="88"/>
        <v>0</v>
      </c>
      <c r="CT31" s="74">
        <f t="shared" si="89"/>
        <v>0</v>
      </c>
      <c r="CU31" s="75">
        <f t="shared" si="90"/>
        <v>0</v>
      </c>
      <c r="CV31" s="75">
        <f t="shared" si="91"/>
        <v>0</v>
      </c>
      <c r="CW31" s="75">
        <f t="shared" si="92"/>
        <v>0</v>
      </c>
      <c r="CX31" s="75">
        <f t="shared" si="93"/>
        <v>0</v>
      </c>
      <c r="CY31" s="75">
        <f t="shared" si="94"/>
        <v>0</v>
      </c>
      <c r="CZ31" s="75">
        <f t="shared" si="95"/>
        <v>0</v>
      </c>
      <c r="DA31" s="75">
        <f t="shared" si="96"/>
        <v>0</v>
      </c>
      <c r="DB31" s="75">
        <f t="shared" si="97"/>
        <v>0</v>
      </c>
      <c r="DC31" s="75">
        <f t="shared" si="98"/>
        <v>0</v>
      </c>
      <c r="DD31" s="75">
        <f t="shared" si="99"/>
        <v>0</v>
      </c>
      <c r="DE31" s="75">
        <f t="shared" si="100"/>
        <v>0</v>
      </c>
      <c r="DF31" s="75">
        <f t="shared" si="101"/>
        <v>0</v>
      </c>
      <c r="DG31" s="75">
        <f t="shared" si="102"/>
        <v>0</v>
      </c>
      <c r="DH31" s="76">
        <f t="shared" si="103"/>
        <v>0</v>
      </c>
      <c r="DI31" s="49">
        <f t="shared" si="104"/>
        <v>1</v>
      </c>
      <c r="DJ31" s="50">
        <f t="shared" si="105"/>
        <v>1</v>
      </c>
      <c r="DK31" s="50">
        <f t="shared" si="106"/>
        <v>0</v>
      </c>
      <c r="DL31" s="51">
        <f t="shared" si="107"/>
        <v>1</v>
      </c>
      <c r="DM31" s="51">
        <f t="shared" si="108"/>
        <v>1</v>
      </c>
      <c r="DN31" s="51">
        <f t="shared" si="109"/>
        <v>0</v>
      </c>
      <c r="DO31" s="52">
        <f t="shared" si="110"/>
        <v>1</v>
      </c>
      <c r="DP31" s="52">
        <f t="shared" si="111"/>
        <v>1</v>
      </c>
      <c r="DQ31" s="52">
        <f t="shared" si="112"/>
        <v>0</v>
      </c>
      <c r="DR31" s="53">
        <f>ROUNDUP((BA31+BB31+BC31+BD31+BE31),0)</f>
        <v>1</v>
      </c>
      <c r="DS31" s="53">
        <f>ROUNDUP((BF31+BG31+BH31+BI31+BJ31),0)</f>
        <v>1</v>
      </c>
      <c r="DT31" s="53">
        <f>ROUNDUP((BM31+BL31+BN31+BO31+BK31),0)</f>
        <v>0</v>
      </c>
      <c r="DU31" s="54">
        <f t="shared" si="116"/>
        <v>0</v>
      </c>
      <c r="DV31" s="54">
        <f t="shared" si="117"/>
        <v>1</v>
      </c>
      <c r="DW31" s="54">
        <f t="shared" si="118"/>
        <v>0</v>
      </c>
      <c r="DX31" s="55">
        <f t="shared" si="119"/>
        <v>1</v>
      </c>
      <c r="DY31" s="55">
        <f t="shared" si="120"/>
        <v>1</v>
      </c>
      <c r="DZ31" s="55">
        <f t="shared" si="121"/>
        <v>0</v>
      </c>
      <c r="EA31" s="56">
        <f t="shared" si="122"/>
        <v>0</v>
      </c>
      <c r="EB31" s="56">
        <f t="shared" si="123"/>
        <v>0</v>
      </c>
      <c r="EC31" s="56">
        <f t="shared" si="124"/>
        <v>0</v>
      </c>
    </row>
    <row r="32" spans="1:133" s="57" customFormat="1" ht="19.5" x14ac:dyDescent="0.2">
      <c r="F32" s="78"/>
      <c r="G32" s="78"/>
    </row>
  </sheetData>
  <mergeCells count="46">
    <mergeCell ref="DD5:DH5"/>
    <mergeCell ref="A7:G7"/>
    <mergeCell ref="BZ5:CD5"/>
    <mergeCell ref="CE5:CI5"/>
    <mergeCell ref="CJ5:CN5"/>
    <mergeCell ref="CO5:CS5"/>
    <mergeCell ref="CT5:CW5"/>
    <mergeCell ref="CY5:DC5"/>
    <mergeCell ref="AV5:AZ5"/>
    <mergeCell ref="BA5:BE5"/>
    <mergeCell ref="BF5:BJ5"/>
    <mergeCell ref="BK5:BO5"/>
    <mergeCell ref="BP5:BT5"/>
    <mergeCell ref="BU5:BY5"/>
    <mergeCell ref="DX4:DZ4"/>
    <mergeCell ref="EA4:EC4"/>
    <mergeCell ref="H5:L5"/>
    <mergeCell ref="M5:Q5"/>
    <mergeCell ref="R5:V5"/>
    <mergeCell ref="W5:AA5"/>
    <mergeCell ref="AB5:AF5"/>
    <mergeCell ref="AG5:AK5"/>
    <mergeCell ref="AL5:AP5"/>
    <mergeCell ref="AQ5:AU5"/>
    <mergeCell ref="CT4:DH4"/>
    <mergeCell ref="DI4:DK4"/>
    <mergeCell ref="DL4:DN4"/>
    <mergeCell ref="DO4:DQ4"/>
    <mergeCell ref="DR4:DT4"/>
    <mergeCell ref="DU4:DW4"/>
    <mergeCell ref="H4:V4"/>
    <mergeCell ref="W4:AK4"/>
    <mergeCell ref="AL4:AZ4"/>
    <mergeCell ref="BA4:BO4"/>
    <mergeCell ref="BP4:CD4"/>
    <mergeCell ref="CE4:CS4"/>
    <mergeCell ref="A3:E3"/>
    <mergeCell ref="F3:F6"/>
    <mergeCell ref="G3:G6"/>
    <mergeCell ref="H3:DH3"/>
    <mergeCell ref="DI3:EC3"/>
    <mergeCell ref="A4:A6"/>
    <mergeCell ref="B4:B6"/>
    <mergeCell ref="C4:C6"/>
    <mergeCell ref="D4:D6"/>
    <mergeCell ref="E4:E6"/>
  </mergeCells>
  <conditionalFormatting sqref="H8:DH31">
    <cfRule type="cellIs" dxfId="0" priority="1" stopIfTrue="1" operator="lessThanOr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KPF-ACC36</dc:creator>
  <cp:lastModifiedBy>KPF-ACC36</cp:lastModifiedBy>
  <dcterms:created xsi:type="dcterms:W3CDTF">2026-01-16T10:11:13Z</dcterms:created>
  <dcterms:modified xsi:type="dcterms:W3CDTF">2026-01-16T10:11:53Z</dcterms:modified>
</cp:coreProperties>
</file>